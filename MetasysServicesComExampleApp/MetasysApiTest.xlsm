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Read" sheetId="1" r:id="rId1"/>
    <sheet name="Write" sheetId="2" r:id="rId2"/>
    <sheet name="Cmd" sheetId="3" r:id="rId3"/>
    <sheet name="Objs" sheetId="4" r:id="rId4"/>
    <sheet name="Equipment" sheetId="9" r:id="rId5"/>
    <sheet name="Spaces" sheetId="10" r:id="rId6"/>
    <sheet name="Devs" sheetId="5" r:id="rId7"/>
    <sheet name="Alarms" sheetId="6" r:id="rId8"/>
    <sheet name="Samples" sheetId="7" r:id="rId9"/>
    <sheet name="Audits" sheetId="8" r:id="rId10"/>
  </sheets>
  <functionGroups builtInGroupCount="18"/>
  <calcPr calcId="152511"/>
</workbook>
</file>

<file path=xl/calcChain.xml><?xml version="1.0" encoding="utf-8"?>
<calcChain xmlns="http://schemas.openxmlformats.org/spreadsheetml/2006/main">
  <c r="C2" i="1" l="1"/>
  <c r="A7" i="6"/>
  <c r="A11" i="6"/>
  <c r="A3" i="8"/>
  <c r="C3" i="1"/>
  <c r="E2" i="2"/>
  <c r="A3" i="7"/>
  <c r="E3" i="2"/>
  <c r="A3" i="6"/>
  <c r="D2" i="3"/>
</calcChain>
</file>

<file path=xl/sharedStrings.xml><?xml version="1.0" encoding="utf-8"?>
<sst xmlns="http://schemas.openxmlformats.org/spreadsheetml/2006/main" count="543" uniqueCount="533">
  <si>
    <t>FQR</t>
  </si>
  <si>
    <t>Attribute</t>
  </si>
  <si>
    <t>Value</t>
  </si>
  <si>
    <t>WIN2016-VM2:vNAE2343701/Field Bus MSTP1.VAV-08.HW-AI1</t>
  </si>
  <si>
    <t>New Value</t>
  </si>
  <si>
    <t>name</t>
  </si>
  <si>
    <t>Priority</t>
  </si>
  <si>
    <t>Result</t>
  </si>
  <si>
    <t>name,description</t>
  </si>
  <si>
    <t>TestM, TestM Desc</t>
  </si>
  <si>
    <t>WIN2016-VM2:vNAE2343701/Field Bus MSTP1.VAV-12.HW-BO1,WIN2016-VM2:vNAE2343701/Field Bus MSTP1.VAV-12.HW-AI1,WIN2016-VM2:vNAE2343701/Field Bus MSTP1.VAV-12.HW-AO4</t>
  </si>
  <si>
    <t>Command</t>
  </si>
  <si>
    <t>Values</t>
  </si>
  <si>
    <t>WIN2016-VM2:vNAE2343701/Field Bus MSTP1.VAV-08.HW-BO1</t>
  </si>
  <si>
    <t>OperatorOverride</t>
  </si>
  <si>
    <t>Network Devices / objects</t>
  </si>
  <si>
    <t>Levels</t>
  </si>
  <si>
    <t>name,description,presentValue</t>
  </si>
  <si>
    <t>WIN2016-VM2:vNAE2343701/Field Bus MSTP1.VAV-08.HW-AI1,WIN2016-VM2:vNAE2343701/Field Bus MSTP1.VAV-12.HW-BO1,WIN2016-VM2:vNAE2343701/Field Bus MSTP1.VAV-12.HW-AO4,WIN2016-VM2:vNAE2343701/Field Bus MSTP1.VAV-12.HW-AO5</t>
  </si>
  <si>
    <t xml:space="preserve"> offonEnumSet.1</t>
  </si>
  <si>
    <t>Win2016-VM2:vNAE2343701/Field Bus MSTP1.AHU-07</t>
  </si>
  <si>
    <t>Win2016-VM2:vNAE2343996/Field Bus MSTP1.AHU-07</t>
  </si>
  <si>
    <t>Win2016-VM2:vNAE2343989/Field Bus MSTP1.AHU-07</t>
  </si>
  <si>
    <t>Win2016-VM2:vNAE2343988/Field Bus MSTP1.AHU-07</t>
  </si>
  <si>
    <t>Win2016-VM2:vNAE2343991/Field Bus MSTP1.AHU-07</t>
  </si>
  <si>
    <t>Win2016-VM2:vNAE2343701/Field Bus MSTP1.BLR-05</t>
  </si>
  <si>
    <t>Win2016-VM2:vNAE2343996/Field Bus MSTP1.BLR-05</t>
  </si>
  <si>
    <t>Win2016-VM2:vNAE2343990/Field Bus MSTP1.BLR-05</t>
  </si>
  <si>
    <t>Win2016-VM2:vNAE2343991/Field Bus MSTP1.BLR-05</t>
  </si>
  <si>
    <t>Win2016-VM2:vNAE2343993/Field Bus MSTP1.BLR-05</t>
  </si>
  <si>
    <t>Win2016-VM2:vNAE2343701/Field Bus MSTP1.CHLR-06</t>
  </si>
  <si>
    <t>Win2016-VM2:vNAE2343990/Field Bus MSTP1.CHLR-06</t>
  </si>
  <si>
    <t>Win2016-VM2:vNAE2343991/Field Bus MSTP1.CHLR-06</t>
  </si>
  <si>
    <t>Win2016-VM2:vNAE2343993/Field Bus MSTP1.CHLR-06</t>
  </si>
  <si>
    <t>Win2016-VM2:vNAE2343992/Field Bus MSTP1.FD-4</t>
  </si>
  <si>
    <t>Win2016-VM2:vNAE2343701/Field Bus MSTP1</t>
  </si>
  <si>
    <t>Win2016-VM2:vNAE2343991/Field Bus MSTP1</t>
  </si>
  <si>
    <t>Win2016-VM2:vNAE2343993/Field Bus MSTP1</t>
  </si>
  <si>
    <t>Win2016-VM2:vNAE2343992/Field Bus MSTP1</t>
  </si>
  <si>
    <t>Win2016-VM2:vNAE2343701/Field Bus MSTP1.VAV-08</t>
  </si>
  <si>
    <t>Win2016-VM2:vNAE2343996/Field Bus MSTP1.VAV-08</t>
  </si>
  <si>
    <t>Win2016-VM2:vNAE2343987/Field Bus MSTP1.VAV-08</t>
  </si>
  <si>
    <t>Win2016-VM2:vNAE2343701/Field Bus MSTP1.VAV-09</t>
  </si>
  <si>
    <t>Win2016-VM2:vNAE2343996/Field Bus MSTP1.VAV-09</t>
  </si>
  <si>
    <t>Win2016-VM2:vNAE2343987/Field Bus MSTP1.VAV-09</t>
  </si>
  <si>
    <t>Win2016-VM2:vNAE2343989/Field Bus MSTP1.VAV-09</t>
  </si>
  <si>
    <t>Win2016-VM2:vNAE2343988/Field Bus MSTP1.VAV-09</t>
  </si>
  <si>
    <t>Win2016-VM2:vNAE2343990/Field Bus MSTP1.VAV-09</t>
  </si>
  <si>
    <t>Win2016-VM2:vNAE2343993/Field Bus MSTP1.VAV-09</t>
  </si>
  <si>
    <t>Win2016-VM2:vNAE2343701/Field Bus MSTP1.VAV-10</t>
  </si>
  <si>
    <t>Win2016-VM2:vNAE2343991/Field Bus MSTP1.VAV-10</t>
  </si>
  <si>
    <t>Win2016-VM2:vNAE2343996/Field Bus MSTP1.VAV-11</t>
  </si>
  <si>
    <t>Win2016-VM2:vNAE2343987/Field Bus MSTP1.VAV-11</t>
  </si>
  <si>
    <t>Win2016-VM2:vNAE2343989/Field Bus MSTP1.VAV-11</t>
  </si>
  <si>
    <t>Win2016-VM2:vNAE2343988/Field Bus MSTP1.VAV-11</t>
  </si>
  <si>
    <t>Win2016-VM2:vNAE2343990/Field Bus MSTP1.VAV-11</t>
  </si>
  <si>
    <t>Win2016-VM2:vNAE2343993/Field Bus MSTP1.VAV-11</t>
  </si>
  <si>
    <t>Win2016-VM2:vNAE2343701/Field Bus MSTP1.VAV-12</t>
  </si>
  <si>
    <t>Win2016-VM2:vNAE2343991/Field Bus MSTP1.VAV-12</t>
  </si>
  <si>
    <t>Win2016-VM2:vNAE2343701/Field Bus MSTP1.VAV-13</t>
  </si>
  <si>
    <t>Win2016-VM2:vNAE2343996/Field Bus MSTP1.VAV-13</t>
  </si>
  <si>
    <t>Win2016-VM2:vNAE2343987/Field Bus MSTP1.VAV-13</t>
  </si>
  <si>
    <t>Win2016-VM2:vNAE2343989/Field Bus MSTP1.VAV-13</t>
  </si>
  <si>
    <t>Win2016-VM2:vNAE2343988/Field Bus MSTP1.VAV-13</t>
  </si>
  <si>
    <t>Win2016-VM2:vNAE2343990/Field Bus MSTP1.VAV-13</t>
  </si>
  <si>
    <t>Win2016-VM2:vNAE2343993/Field Bus MSTP1.VAV-13</t>
  </si>
  <si>
    <t>Win2016-VM2:vNAE2343701/Field Bus MSTP1.VAV-15</t>
  </si>
  <si>
    <t>Win2016-VM2:vNAE2343996/Field Bus MSTP1.VAV-15</t>
  </si>
  <si>
    <t>Win2016-VM2:vNAE2343987/Field Bus MSTP1.VAV-15</t>
  </si>
  <si>
    <t>Win2016-VM2:vNAE2343989/Field Bus MSTP1.VAV-15</t>
  </si>
  <si>
    <t>Win2016-VM2:vNAE2343988/Field Bus MSTP1.VAV-15</t>
  </si>
  <si>
    <t>Win2016-VM2:vNAE2343990/Field Bus MSTP1.VAV-15</t>
  </si>
  <si>
    <t>Win2016-VM2:vNAE2343991/Field Bus MSTP1.VAV-15</t>
  </si>
  <si>
    <t>Win2016-VM2:vNAE2343993/Field Bus MSTP1.VAV-15</t>
  </si>
  <si>
    <t>Win2016-VM2:vNAE2343996/Field Bus MSTP1.VAV-16</t>
  </si>
  <si>
    <t>Win2016-VM2:vNAE2343987/Field Bus MSTP1.VAV-16</t>
  </si>
  <si>
    <t>Win2016-VM2:vNAE2343701/Field Bus MSTP1.VAV-17</t>
  </si>
  <si>
    <t>Win2016-VM2:vNAE2343990/Field Bus MSTP1.VAV-17</t>
  </si>
  <si>
    <t>Win2016-VM2:vNAE2343991/Field Bus MSTP1.VAV-17</t>
  </si>
  <si>
    <t>Win2016-VM2:vNAE2343993/Field Bus MSTP1.VAV-17</t>
  </si>
  <si>
    <t>Win2016-VM2:vNAE2343701/Field Bus MSTP1.VAV-18</t>
  </si>
  <si>
    <t>Win2016-VM2:vNAE2343996/Field Bus MSTP1.VAV-18</t>
  </si>
  <si>
    <t>Win2016-VM2:vNAE2343987/Field Bus MSTP1.VAV-18</t>
  </si>
  <si>
    <t>Win2016-VM2:vNAE2343989/Field Bus MSTP1.VAV-18</t>
  </si>
  <si>
    <t>Win2016-VM2:vNAE2343988/Field Bus MSTP1.VAV-18</t>
  </si>
  <si>
    <t>Win2016-VM2:vNAE2343990/Field Bus MSTP1.VAV-18</t>
  </si>
  <si>
    <t>Win2016-VM2:vNAE2343993/Field Bus MSTP1.VAV-18</t>
  </si>
  <si>
    <t>Win2016-VM2:vNAE2343701/Field Bus MSTP1.VAV-20</t>
  </si>
  <si>
    <t>Win2016-VM2:vNAE2343989/Field Bus MSTP1.VAV-20</t>
  </si>
  <si>
    <t>Win2016-VM2:vNAE2343988/Field Bus MSTP1.VAV-20</t>
  </si>
  <si>
    <t>Win2016-VM2:vNAE2343990/Field Bus MSTP1.VAV-20</t>
  </si>
  <si>
    <t>Win2016-VM2:vNAE2343991/Field Bus MSTP1.VAV-20</t>
  </si>
  <si>
    <t>Win2016-VM2:vNAE2343993/Field Bus MSTP1.VAV-20</t>
  </si>
  <si>
    <t>Win2016-VM2:vNAE2343996/Field Bus MSTP1.VAV-21</t>
  </si>
  <si>
    <t>Win2016-VM2:vNAE2343987/Field Bus MSTP1.VAV-21</t>
  </si>
  <si>
    <t>Win2016-VM2:vNAE2343989/Field Bus MSTP1.VAV-21</t>
  </si>
  <si>
    <t>Win2016-VM2:vNAE2343988/Field Bus MSTP1.VAV-21</t>
  </si>
  <si>
    <t>Win2016-VM2:vNAE2343990/Field Bus MSTP1.VAV-21</t>
  </si>
  <si>
    <t>Win2016-VM2:vNAE2343993/Field Bus MSTP1.VAV-21</t>
  </si>
  <si>
    <t>Win2016-VM2:vNAE2343701/Field Bus MSTP1.VAV-23</t>
  </si>
  <si>
    <t>Win2016-VM2:vNAE2343989/Field Bus MSTP1.VAV-23</t>
  </si>
  <si>
    <t>Win2016-VM2:vNAE2343988/Field Bus MSTP1.VAV-23</t>
  </si>
  <si>
    <t>Win2016-VM2:vNAE2343990/Field Bus MSTP1.VAV-23</t>
  </si>
  <si>
    <t>Win2016-VM2:vNAE2343991/Field Bus MSTP1.VAV-23</t>
  </si>
  <si>
    <t>Win2016-VM2:vNAE2343993/Field Bus MSTP1.VAV-23</t>
  </si>
  <si>
    <t>Win2016-VM2:vNAE2343701/Field Bus MSTP1.VAV-24</t>
  </si>
  <si>
    <t>Win2016-VM2:vNAE2343996/Field Bus MSTP1.VAV-24</t>
  </si>
  <si>
    <t>Win2016-VM2:vNAE2343987/Field Bus MSTP1.VAV-24</t>
  </si>
  <si>
    <t>Win2016-VM2:vNAE2343989/Field Bus MSTP1.VAV-24</t>
  </si>
  <si>
    <t>Win2016-VM2:vNAE2343988/Field Bus MSTP1.VAV-24</t>
  </si>
  <si>
    <t>Win2016-VM2:vNAE2343990/Field Bus MSTP1.VAV-24</t>
  </si>
  <si>
    <t>Win2016-VM2:vNAE2343993/Field Bus MSTP1.VAV-24</t>
  </si>
  <si>
    <t>Win2016-VM2:vNAE2343701/Field Bus MSTP1.VAV-26</t>
  </si>
  <si>
    <t>Win2016-VM2:vNAE2343990/Field Bus MSTP1.VAV-26</t>
  </si>
  <si>
    <t>Win2016-VM2:vNAE2343991/Field Bus MSTP1.VAV-26</t>
  </si>
  <si>
    <t>Win2016-VM2:vNAE2343993/Field Bus MSTP1.VAV-26</t>
  </si>
  <si>
    <t>Win2016-VM2:vNAE2343701/Field Bus MSTP1.VAV-27</t>
  </si>
  <si>
    <t>Win2016-VM2:vNAE2343996/Field Bus MSTP1.VAV-27</t>
  </si>
  <si>
    <t>Win2016-VM2:vNAE2343987/Field Bus MSTP1.VAV-27</t>
  </si>
  <si>
    <t>Win2016-VM2:vNAE2343989/Field Bus MSTP1.VAV-27</t>
  </si>
  <si>
    <t>Win2016-VM2:vNAE2343988/Field Bus MSTP1.VAV-27</t>
  </si>
  <si>
    <t>Win2016-VM2:vNAE2343990/Field Bus MSTP1.VAV-27</t>
  </si>
  <si>
    <t>Win2016-VM2:vNAE2343991/Field Bus MSTP1.VAV-27</t>
  </si>
  <si>
    <t>Win2016-VM2:vNAE2343993/Field Bus MSTP1.VAV-27</t>
  </si>
  <si>
    <t>Win2016-VM2:vNAE2343701/Field Bus MSTP1.VAV-28</t>
  </si>
  <si>
    <t>Win2016-VM2:vNAE2343996/Field Bus MSTP1.VAV-28</t>
  </si>
  <si>
    <t>Win2016-VM2:vNAE2343987/Field Bus MSTP1.VAV-28</t>
  </si>
  <si>
    <t>Win2016-VM2:vNAE2343989/Field Bus MSTP1.VAV-28</t>
  </si>
  <si>
    <t>Win2016-VM2:vNAE2343988/Field Bus MSTP1.VAV-28</t>
  </si>
  <si>
    <t>Win2016-VM2:vNAE2343990/Field Bus MSTP1.VAV-28</t>
  </si>
  <si>
    <t>Win2016-VM2:vNAE2343991/Field Bus MSTP1.VAV-28</t>
  </si>
  <si>
    <t>Win2016-VM2:vNAE2343993/Field Bus MSTP1.VAV-28</t>
  </si>
  <si>
    <t>Win2016-VM2:vNAE2343701/Field Bus MSTP1.VAV-29</t>
  </si>
  <si>
    <t>Win2016-VM2:vNAE2343996/Field Bus MSTP1.VAV-29</t>
  </si>
  <si>
    <t>Win2016-VM2:vNAE2343987/Field Bus MSTP1.VAV-29</t>
  </si>
  <si>
    <t>Win2016-VM2:vNAE2343989/Field Bus MSTP1.VAV-29</t>
  </si>
  <si>
    <t>Win2016-VM2:vNAE2343988/Field Bus MSTP1.VAV-29</t>
  </si>
  <si>
    <t>Win2016-VM2:vNAE2343990/Field Bus MSTP1.VAV-29</t>
  </si>
  <si>
    <t>Win2016-VM2:vNAE2343991/Field Bus MSTP1.VAV-29</t>
  </si>
  <si>
    <t>Win2016-VM2:vNAE2343993/Field Bus MSTP1.VAV-29</t>
  </si>
  <si>
    <t>Win2016-VM2:vNAE2343701/Field Bus MSTP1.VAV-30</t>
  </si>
  <si>
    <t>Win2016-VM2:vNAE2343996/Field Bus MSTP1.VAV-30</t>
  </si>
  <si>
    <t>Win2016-VM2:vNAE2343987/Field Bus MSTP1.VAV-30</t>
  </si>
  <si>
    <t>Win2016-VM2:vNAE2343989/Field Bus MSTP1.VAV-30</t>
  </si>
  <si>
    <t>Win2016-VM2:vNAE2343988/Field Bus MSTP1.VAV-30</t>
  </si>
  <si>
    <t>Win2016-VM2:vNAE2343990/Field Bus MSTP1.VAV-30</t>
  </si>
  <si>
    <t>Win2016-VM2:vNAE2343991/Field Bus MSTP1.VAV-30</t>
  </si>
  <si>
    <t>Win2016-VM2:vNAE2343993/Field Bus MSTP1.VAV-30</t>
  </si>
  <si>
    <t>Win2016-VM2:vNAE2343701/Field Bus MSTP1.VAV-31</t>
  </si>
  <si>
    <t>Win2016-VM2:vNAE2343996/Field Bus MSTP1.VAV-31</t>
  </si>
  <si>
    <t>Win2016-VM2:vNAE2343987/Field Bus MSTP1.VAV-31</t>
  </si>
  <si>
    <t>Win2016-VM2:vNAE2343989/Field Bus MSTP1.VAV-31</t>
  </si>
  <si>
    <t>Win2016-VM2:vNAE2343988/Field Bus MSTP1.VAV-31</t>
  </si>
  <si>
    <t>Win2016-VM2:vNAE2343990/Field Bus MSTP1.VAV-31</t>
  </si>
  <si>
    <t>Win2016-VM2:vNAE2343991/Field Bus MSTP1.VAV-31</t>
  </si>
  <si>
    <t>Win2016-VM2:vNAE2343993/Field Bus MSTP1.VAV-31</t>
  </si>
  <si>
    <t>Win2016-VM2:vNAE2343701/Field Bus MSTP1.VAV-32</t>
  </si>
  <si>
    <t>Win2016-VM2:vNAE2343996/Field Bus MSTP1.VAV-32</t>
  </si>
  <si>
    <t>Win2016-VM2:vNAE2343987/Field Bus MSTP1.VAV-32</t>
  </si>
  <si>
    <t>Win2016-VM2:vNAE2343989/Field Bus MSTP1.VAV-32</t>
  </si>
  <si>
    <t>Win2016-VM2:vNAE2343988/Field Bus MSTP1.VAV-32</t>
  </si>
  <si>
    <t>Win2016-VM2:vNAE2343990/Field Bus MSTP1.VAV-32</t>
  </si>
  <si>
    <t>Win2016-VM2:vNAE2343991/Field Bus MSTP1.VAV-32</t>
  </si>
  <si>
    <t>Win2016-VM2:vNAE2343993/Field Bus MSTP1.VAV-32</t>
  </si>
  <si>
    <t>Win2016-VM2:vNAE2343701/Field Bus MSTP1.VAV-33</t>
  </si>
  <si>
    <t>Win2016-VM2:vNAE2343996/Field Bus MSTP1.VAV-33</t>
  </si>
  <si>
    <t>Win2016-VM2:vNAE2343987/Field Bus MSTP1.VAV-33</t>
  </si>
  <si>
    <t>Win2016-VM2:vNAE2343989/Field Bus MSTP1.VAV-33</t>
  </si>
  <si>
    <t>Win2016-VM2:vNAE2343988/Field Bus MSTP1.VAV-33</t>
  </si>
  <si>
    <t>Win2016-VM2:vNAE2343990/Field Bus MSTP1.VAV-33</t>
  </si>
  <si>
    <t>Win2016-VM2:vNAE2343991/Field Bus MSTP1.VAV-33</t>
  </si>
  <si>
    <t>Win2016-VM2:vNAE2343993/Field Bus MSTP1.VAV-33</t>
  </si>
  <si>
    <t>Win2016-VM2:vNAE2343701/Field Bus MSTP1.VAV-34</t>
  </si>
  <si>
    <t>Win2016-VM2:vNAE2343996/Field Bus MSTP1.VAV-34</t>
  </si>
  <si>
    <t>Win2016-VM2:vNAE2343987/Field Bus MSTP1.VAV-34</t>
  </si>
  <si>
    <t>Win2016-VM2:vNAE2343989/Field Bus MSTP1.VAV-34</t>
  </si>
  <si>
    <t>Win2016-VM2:vNAE2343988/Field Bus MSTP1.VAV-34</t>
  </si>
  <si>
    <t>Win2016-VM2:vNAE2343990/Field Bus MSTP1.VAV-34</t>
  </si>
  <si>
    <t>Win2016-VM2:vNAE2343991/Field Bus MSTP1.VAV-34</t>
  </si>
  <si>
    <t>Win2016-VM2:vNAE2343993/Field Bus MSTP1.VAV-34</t>
  </si>
  <si>
    <t>Win2016-VM2:vNAE2343701/Field Bus MSTP1.VAV-35</t>
  </si>
  <si>
    <t>Win2016-VM2:vNAE2343996/Field Bus MSTP1.VAV-35</t>
  </si>
  <si>
    <t>Win2016-VM2:vNAE2343987/Field Bus MSTP1.VAV-35</t>
  </si>
  <si>
    <t>Win2016-VM2:vNAE2343989/Field Bus MSTP1.VAV-35</t>
  </si>
  <si>
    <t>Win2016-VM2:vNAE2343988/Field Bus MSTP1.VAV-35</t>
  </si>
  <si>
    <t>Win2016-VM2:vNAE2343990/Field Bus MSTP1.VAV-35</t>
  </si>
  <si>
    <t>Win2016-VM2:vNAE2343991/Field Bus MSTP1.VAV-35</t>
  </si>
  <si>
    <t>Win2016-VM2:vNAE2343993/Field Bus MSTP1.VAV-35</t>
  </si>
  <si>
    <t>Win2016-VM2:vNAE2343701/Field Bus MSTP1.VAV-36</t>
  </si>
  <si>
    <t>Win2016-VM2:vNAE2343996/Field Bus MSTP1.VAV-36</t>
  </si>
  <si>
    <t>Win2016-VM2:vNAE2343987/Field Bus MSTP1.VAV-36</t>
  </si>
  <si>
    <t>Win2016-VM2:vNAE2343989/Field Bus MSTP1.VAV-36</t>
  </si>
  <si>
    <t>Win2016-VM2:vNAE2343988/Field Bus MSTP1.VAV-36</t>
  </si>
  <si>
    <t>Win2016-VM2:vNAE2343990/Field Bus MSTP1.VAV-36</t>
  </si>
  <si>
    <t>Win2016-VM2:vNAE2343991/Field Bus MSTP1.VAV-36</t>
  </si>
  <si>
    <t>Win2016-VM2:vNAE2343993/Field Bus MSTP1.VAV-36</t>
  </si>
  <si>
    <t>Win2016-VM2:vNAE2343701/Field Bus MSTP1.VAV-37</t>
  </si>
  <si>
    <t>Win2016-VM2:vNAE2343996/Field Bus MSTP1.VAV-37</t>
  </si>
  <si>
    <t>Win2016-VM2:vNAE2343987/Field Bus MSTP1.VAV-37</t>
  </si>
  <si>
    <t>Win2016-VM2:vNAE2343989/Field Bus MSTP1.VAV-37</t>
  </si>
  <si>
    <t>Win2016-VM2:vNAE2343988/Field Bus MSTP1.VAV-37</t>
  </si>
  <si>
    <t>Win2016-VM2:vNAE2343990/Field Bus MSTP1.VAV-37</t>
  </si>
  <si>
    <t>Win2016-VM2:vNAE2343991/Field Bus MSTP1.VAV-37</t>
  </si>
  <si>
    <t>Win2016-VM2:vNAE2343993/Field Bus MSTP1.VAV-37</t>
  </si>
  <si>
    <t>Win2016-VM2:vNAE2343701/Field Bus MSTP1.VAV-38</t>
  </si>
  <si>
    <t>Win2016-VM2:vNAE2343996/Field Bus MSTP1.VAV-38</t>
  </si>
  <si>
    <t>Win2016-VM2:vNAE2343987/Field Bus MSTP1.VAV-38</t>
  </si>
  <si>
    <t>Win2016-VM2:vNAE2343989/Field Bus MSTP1.VAV-38</t>
  </si>
  <si>
    <t>Win2016-VM2:vNAE2343988/Field Bus MSTP1.VAV-38</t>
  </si>
  <si>
    <t>Win2016-VM2:vNAE2343990/Field Bus MSTP1.VAV-38</t>
  </si>
  <si>
    <t>Win2016-VM2:vNAE2343991/Field Bus MSTP1.VAV-38</t>
  </si>
  <si>
    <t>Win2016-VM2:vNAE2343993/Field Bus MSTP1.VAV-38</t>
  </si>
  <si>
    <t>Win2016-VM2:vNAE2343701/Field Bus MSTP1.VAV-39</t>
  </si>
  <si>
    <t>Win2016-VM2:vNAE2343996/Field Bus MSTP1.VAV-39</t>
  </si>
  <si>
    <t>Win2016-VM2:vNAE2343987/Field Bus MSTP1.VAV-39</t>
  </si>
  <si>
    <t>Win2016-VM2:vNAE2343989/Field Bus MSTP1.VAV-39</t>
  </si>
  <si>
    <t>Win2016-VM2:vNAE2343988/Field Bus MSTP1.VAV-39</t>
  </si>
  <si>
    <t>Win2016-VM2:vNAE2343990/Field Bus MSTP1.VAV-39</t>
  </si>
  <si>
    <t>Win2016-VM2:vNAE2343991/Field Bus MSTP1.VAV-39</t>
  </si>
  <si>
    <t>Win2016-VM2:vNAE2343993/Field Bus MSTP1.VAV-39</t>
  </si>
  <si>
    <t>Win2016-VM2:vNAE2343701/Field Bus MSTP1.VAV-40</t>
  </si>
  <si>
    <t>Win2016-VM2:vNAE2343996/Field Bus MSTP1.VAV-40</t>
  </si>
  <si>
    <t>Win2016-VM2:vNAE2343987/Field Bus MSTP1.VAV-40</t>
  </si>
  <si>
    <t>Win2016-VM2:vNAE2343989/Field Bus MSTP1.VAV-40</t>
  </si>
  <si>
    <t>Win2016-VM2:vNAE2343988/Field Bus MSTP1.VAV-40</t>
  </si>
  <si>
    <t>Win2016-VM2:vNAE2343990/Field Bus MSTP1.VAV-40</t>
  </si>
  <si>
    <t>Win2016-VM2:vNAE2343991/Field Bus MSTP1.VAV-40</t>
  </si>
  <si>
    <t>Win2016-VM2:vNAE2343993/Field Bus MSTP1.VAV-40</t>
  </si>
  <si>
    <t>Win2016-VM2:vNAE2343701/Field Bus MSTP1.VAV-41</t>
  </si>
  <si>
    <t>Win2016-VM2:vNAE2343996/Field Bus MSTP1.VAV-41</t>
  </si>
  <si>
    <t>Win2016-VM2:vNAE2343987/Field Bus MSTP1.VAV-41</t>
  </si>
  <si>
    <t>Win2016-VM2:vNAE2343989/Field Bus MSTP1.VAV-41</t>
  </si>
  <si>
    <t>Win2016-VM2:vNAE2343988/Field Bus MSTP1.VAV-41</t>
  </si>
  <si>
    <t>Win2016-VM2:vNAE2343990/Field Bus MSTP1.VAV-41</t>
  </si>
  <si>
    <t>Win2016-VM2:vNAE2343991/Field Bus MSTP1.VAV-41</t>
  </si>
  <si>
    <t>Win2016-VM2:vNAE2343993/Field Bus MSTP1.VAV-41</t>
  </si>
  <si>
    <t>Win2016-VM2:vNAE2343701/Field Bus MSTP1.VAV-42</t>
  </si>
  <si>
    <t>Win2016-VM2:vNAE2343996/Field Bus MSTP1.VAV-42</t>
  </si>
  <si>
    <t>Win2016-VM2:vNAE2343987/Field Bus MSTP1.VAV-42</t>
  </si>
  <si>
    <t>Win2016-VM2:vNAE2343989/Field Bus MSTP1.VAV-42</t>
  </si>
  <si>
    <t>Win2016-VM2:vNAE2343988/Field Bus MSTP1.VAV-42</t>
  </si>
  <si>
    <t>Win2016-VM2:vNAE2343990/Field Bus MSTP1.VAV-42</t>
  </si>
  <si>
    <t>Win2016-VM2:vNAE2343991/Field Bus MSTP1.VAV-42</t>
  </si>
  <si>
    <t>Win2016-VM2:vNAE2343993/Field Bus MSTP1.VAV-42</t>
  </si>
  <si>
    <t>Win2016-VM2:vNAE2343701/Field Bus MSTP1.VAV-43</t>
  </si>
  <si>
    <t>Win2016-VM2:vNAE2343996/Field Bus MSTP1.VAV-43</t>
  </si>
  <si>
    <t>Win2016-VM2:vNAE2343987/Field Bus MSTP1.VAV-43</t>
  </si>
  <si>
    <t>Win2016-VM2:vNAE2343989/Field Bus MSTP1.VAV-43</t>
  </si>
  <si>
    <t>Win2016-VM2:vNAE2343988/Field Bus MSTP1.VAV-43</t>
  </si>
  <si>
    <t>Win2016-VM2:vNAE2343990/Field Bus MSTP1.VAV-43</t>
  </si>
  <si>
    <t>Win2016-VM2:vNAE2343991/Field Bus MSTP1.VAV-43</t>
  </si>
  <si>
    <t>Win2016-VM2:vNAE2343993/Field Bus MSTP1.VAV-43</t>
  </si>
  <si>
    <t>Win2016-VM2:vNAE2343701/Field Bus MSTP1.VAV-44</t>
  </si>
  <si>
    <t>Win2016-VM2:vNAE2343996/Field Bus MSTP1.VAV-44</t>
  </si>
  <si>
    <t>Win2016-VM2:vNAE2343987/Field Bus MSTP1.VAV-44</t>
  </si>
  <si>
    <t>Win2016-VM2:vNAE2343989/Field Bus MSTP1.VAV-44</t>
  </si>
  <si>
    <t>Win2016-VM2:vNAE2343988/Field Bus MSTP1.VAV-44</t>
  </si>
  <si>
    <t>Win2016-VM2:vNAE2343990/Field Bus MSTP1.VAV-44</t>
  </si>
  <si>
    <t>Win2016-VM2:vNAE2343991/Field Bus MSTP1.VAV-44</t>
  </si>
  <si>
    <t>Win2016-VM2:vNAE2343993/Field Bus MSTP1.VAV-44</t>
  </si>
  <si>
    <t>Win2016-VM2:vNAE2343701</t>
  </si>
  <si>
    <t>Win2016-VM2:vNAE2343987</t>
  </si>
  <si>
    <t>Win2016-VM2:vNAE2343988</t>
  </si>
  <si>
    <t>Win2016-VM2:vNAE2343989</t>
  </si>
  <si>
    <t>Win2016-VM2:vNAE2343990</t>
  </si>
  <si>
    <t>Win2016-VM2:vNAE2343991</t>
  </si>
  <si>
    <t>Win2016-VM2:vNAE2343992</t>
  </si>
  <si>
    <t>Win2016-VM2:vNAE2343993</t>
  </si>
  <si>
    <t>Win2016-VM2:vNAE2343996</t>
  </si>
  <si>
    <t>Win2016-VM2:vNAE2343701/Field Bus MSTP1.VAV-08.OUTPUT-BOOLEAN.Alarm1</t>
  </si>
  <si>
    <t>Win2016-VM2:vNAE2343701/Field Bus MSTP1.VAV-08.OUTPUT-BOOLEAN.Trend1</t>
  </si>
  <si>
    <t>Win2016-VM2:vNAE2343701/Field Bus MSTP1.VAV-08.OUTPUT-BOOLEAN.Totalization1</t>
  </si>
  <si>
    <t>Win2016-VM2:vNAE2343701/Field Bus MSTP1.VAV-08.OUTPUT-BOOLEAN.Totalization2</t>
  </si>
  <si>
    <t>Win2016-VM2:vNAE2343701/Field Bus MSTP1.VAV-08.OUTPUT-BOOLEAN.Trend2</t>
  </si>
  <si>
    <t>Win2016-VM2:vNAE2343701/Field Bus MSTP1.VAV-08.DA-T</t>
  </si>
  <si>
    <t>Win2016-VM2:vNAE2343701/Field Bus MSTP1.VAV-08.DPR-O</t>
  </si>
  <si>
    <t>Win2016-VM2:vNAE2343701/Field Bus MSTP1.VAV-08.OUTPUT-ENUM.Alarm1</t>
  </si>
  <si>
    <t>Win2016-VM2:vNAE2343701/Field Bus MSTP1.VAV-08.OUTPUT-ENUM.Trend1</t>
  </si>
  <si>
    <t>Win2016-VM2:vNAE2343701/Field Bus MSTP1.VAV-08.OUTPUT-ENUM.Totalization1</t>
  </si>
  <si>
    <t>Win2016-VM2:vNAE2343701/Field Bus MSTP1.VAV-08.OUTPUT-ENUM.Totalization2</t>
  </si>
  <si>
    <t>Win2016-VM2:vNAE2343701/Field Bus MSTP1.VAV-08.OUTPUT-ENUM.Trend2</t>
  </si>
  <si>
    <t>Win2016-VM2:vNAE2343701/Field Bus MSTP1.VAV-08.OUTPUT-FLOAT.Alarm1</t>
  </si>
  <si>
    <t>Win2016-VM2:vNAE2343701/Field Bus MSTP1.VAV-08.OUTPUT-FLOAT.Trend1</t>
  </si>
  <si>
    <t>Win2016-VM2:vNAE2343701/Field Bus MSTP1.VAV-08.OUTPUT-FLOAT.Totalization1</t>
  </si>
  <si>
    <t>Win2016-VM2:vNAE2343701/Field Bus MSTP1.VAV-08.OUTPUT-FLOAT.Trend2</t>
  </si>
  <si>
    <t>Win2016-VM2:vNAE2343701/Field Bus MSTP1.VAV-08.GENERATOR ENABLE</t>
  </si>
  <si>
    <t>Win2016-VM2:vNAE2343701/Field Bus MSTP1.VAV-08.GENERATOR FLOAT RESET</t>
  </si>
  <si>
    <t>Win2016-VM2:vNAE2343701/Field Bus MSTP1.VAV-08.GENERATOR TIME INTERVAL</t>
  </si>
  <si>
    <t>Win2016-VM2:vNAE2343701/Field Bus MSTP1.VAV-08.HTG-O</t>
  </si>
  <si>
    <t>Win2016-VM2:vNAE2343701/Field Bus MSTP1.VAV-08.HW-AI2</t>
  </si>
  <si>
    <t>Win2016-VM2:vNAE2343701/Field Bus MSTP1.VAV-08.HW-AO4</t>
  </si>
  <si>
    <t>Win2016-VM2:vNAE2343701/Field Bus MSTP1.VAV-08.HW-AO5</t>
  </si>
  <si>
    <t>Win2016-VM2:vNAE2343701/Field Bus MSTP1.VAV-08.HW-AO6</t>
  </si>
  <si>
    <t>Win2016-VM2:vNAE2343701/Field Bus MSTP1.VAV-08.HW-AO7</t>
  </si>
  <si>
    <t>Win2016-VM2:vNAE2343701/Field Bus MSTP1.VAV-08.HW-BI3</t>
  </si>
  <si>
    <t>Win2016-VM2:vNAE2343701/Field Bus MSTP1.VAV-08.HW-BO1</t>
  </si>
  <si>
    <t>Win2016-VM2:vNAE2343701/Field Bus MSTP1.VAV-08.HW-BO2</t>
  </si>
  <si>
    <t>Win2016-VM2:vNAE2343701/Field Bus MSTP1.VAV-08.HW-BO3</t>
  </si>
  <si>
    <t>Win2016-VM2:vNAE2343701/Field Bus MSTP1.VAV-08.OCC-SCHEDULE</t>
  </si>
  <si>
    <t>Win2016-VM2:vNAE2343701/Field Bus MSTP1.VAV-08.OUTPUT-BOOLEAN</t>
  </si>
  <si>
    <t>Win2016-VM2:vNAE2343701/Field Bus MSTP1.VAV-08.OUTPUT-ENUM</t>
  </si>
  <si>
    <t>Win2016-VM2:vNAE2343701/Field Bus MSTP1.VAV-08.OUTPUT-FLOAT</t>
  </si>
  <si>
    <t>Win2016-VM2:vNAE2343701/Field Bus MSTP1.VAV-08.SA-F</t>
  </si>
  <si>
    <t>Win2016-VM2:vNAE2343701/Field Bus MSTP1.VAV-08.SAFLOW-SP</t>
  </si>
  <si>
    <t>Win2016-VM2:vNAE2343701/Field Bus MSTP1.VAV-08.SUMMER WINTER</t>
  </si>
  <si>
    <t>Win2016-VM2:vNAE2343701/Field Bus MSTP1.VAV-08.HW-AI1</t>
  </si>
  <si>
    <t>Win2016-VM2:vNAE2343701/Field Bus MSTP1.VAV-08.UNITEN-MODE</t>
  </si>
  <si>
    <t>Win2016-VM2:vNAE2343701/Field Bus MSTP1.VAV-08.ZN-SP</t>
  </si>
  <si>
    <t>presentValue</t>
  </si>
  <si>
    <t>Test4</t>
  </si>
  <si>
    <t>Win2016-VM2:vNAE2343701/Field Bus MSTP1.VAV-08.HW-AI2.Trend1</t>
  </si>
  <si>
    <t>Alarms</t>
  </si>
  <si>
    <t>Samples</t>
  </si>
  <si>
    <t>Alarms for an object</t>
  </si>
  <si>
    <t>Alarms for  a Network Device</t>
  </si>
  <si>
    <t>Device ID</t>
  </si>
  <si>
    <t>Object ID</t>
  </si>
  <si>
    <t>17ac1932-18d8-518c-8012-420c77bea86b</t>
  </si>
  <si>
    <t>d45e0f6f-bc4a-51f7-90d0-993a54b5d412</t>
  </si>
  <si>
    <t>Win2016-VM2:vNAE2343987/Field Bus MSTP1.AHU-07</t>
  </si>
  <si>
    <t>Win2016-VM2:vNAE2343990/Field Bus MSTP1.AHU-07</t>
  </si>
  <si>
    <t>Win2016-VM2:vNAE2343993/Field Bus MSTP1.AHU-07</t>
  </si>
  <si>
    <t>MUI-SRV04:vNAE2343959/Field Bus MSTP1.AHU-07</t>
  </si>
  <si>
    <t>Win2016-VM2:vNAE2343987/Field Bus MSTP1.BLR-05</t>
  </si>
  <si>
    <t>Win2016-VM2:vNAE2343989/Field Bus MSTP1.BLR-05</t>
  </si>
  <si>
    <t>Win2016-VM2:vNAE2343988/Field Bus MSTP1.BLR-05</t>
  </si>
  <si>
    <t>MUI-SRV04:vNAE2343959/Field Bus MSTP1.BLR-05</t>
  </si>
  <si>
    <t>Win2016-VM2:vNAE2343996/Field Bus MSTP1.CHLR-06</t>
  </si>
  <si>
    <t>Win2016-VM2:vNAE2343987/Field Bus MSTP1.CHLR-06</t>
  </si>
  <si>
    <t>Win2016-VM2:vNAE2343989/Field Bus MSTP1.CHLR-06</t>
  </si>
  <si>
    <t>Win2016-VM2:vNAE2343988/Field Bus MSTP1.CHLR-06</t>
  </si>
  <si>
    <t>MUI-SRV04:vNAE2343959/Field Bus MSTP1.CHLR-06</t>
  </si>
  <si>
    <t>Win2016-VM2:vNAE2343996/Field Bus MSTP1</t>
  </si>
  <si>
    <t>Win2016-VM2:vNAE2343987/Field Bus MSTP1</t>
  </si>
  <si>
    <t>Win2016-VM2:vNAE2343989/Field Bus MSTP1</t>
  </si>
  <si>
    <t>Win2016-VM2:vNAE2343988/Field Bus MSTP1</t>
  </si>
  <si>
    <t>Win2016-VM2:vNAE2343990/Field Bus MSTP1</t>
  </si>
  <si>
    <t>MUI-SRV04:vNAE2343959/Field Bus MSTP1</t>
  </si>
  <si>
    <t>Win2016-VM2:vNAE2343989/Field Bus MSTP1.VAV-08</t>
  </si>
  <si>
    <t>Win2016-VM2:vNAE2343988/Field Bus MSTP1.VAV-08</t>
  </si>
  <si>
    <t>Win2016-VM2:vNAE2343990/Field Bus MSTP1.VAV-08</t>
  </si>
  <si>
    <t>Win2016-VM2:vNAE2343993/Field Bus MSTP1.VAV-08</t>
  </si>
  <si>
    <t>Win2016-VM2:vNAE2343991/Field Bus MSTP1.VAV-08</t>
  </si>
  <si>
    <t>MUI-SRV04:vNAE2343959/Field Bus MSTP1.VAV-08</t>
  </si>
  <si>
    <t>Win2016-VM2:vNAE2343991/Field Bus MSTP1.VAV-09</t>
  </si>
  <si>
    <t>MUI-SRV04:vNAE2343959/Field Bus MSTP1.VAV-09</t>
  </si>
  <si>
    <t>Win2016-VM2:vNAE2343996/Field Bus MSTP1.VAV-10</t>
  </si>
  <si>
    <t>Win2016-VM2:vNAE2343987/Field Bus MSTP1.VAV-10</t>
  </si>
  <si>
    <t>Win2016-VM2:vNAE2343989/Field Bus MSTP1.VAV-10</t>
  </si>
  <si>
    <t>Win2016-VM2:vNAE2343988/Field Bus MSTP1.VAV-10</t>
  </si>
  <si>
    <t>Win2016-VM2:vNAE2343990/Field Bus MSTP1.VAV-10</t>
  </si>
  <si>
    <t>Win2016-VM2:vNAE2343993/Field Bus MSTP1.VAV-10</t>
  </si>
  <si>
    <t>MUI-SRV04:vNAE2343959/Field Bus MSTP1.VAV-10</t>
  </si>
  <si>
    <t>Win2016-VM2:vNAE2343701/Field Bus MSTP1.VAV-11</t>
  </si>
  <si>
    <t>Win2016-VM2:vNAE2343991/Field Bus MSTP1.VAV-11</t>
  </si>
  <si>
    <t>MUI-SRV04:vNAE2343959/Field Bus MSTP1.VAV-11</t>
  </si>
  <si>
    <t>Win2016-VM2:vNAE2343996/Field Bus MSTP1.VAV-12</t>
  </si>
  <si>
    <t>Win2016-VM2:vNAE2343987/Field Bus MSTP1.VAV-12</t>
  </si>
  <si>
    <t>Win2016-VM2:vNAE2343989/Field Bus MSTP1.VAV-12</t>
  </si>
  <si>
    <t>Win2016-VM2:vNAE2343988/Field Bus MSTP1.VAV-12</t>
  </si>
  <si>
    <t>Win2016-VM2:vNAE2343990/Field Bus MSTP1.VAV-12</t>
  </si>
  <si>
    <t>Win2016-VM2:vNAE2343993/Field Bus MSTP1.VAV-12</t>
  </si>
  <si>
    <t>MUI-SRV04:vNAE2343959/Field Bus MSTP1.VAV-12</t>
  </si>
  <si>
    <t>Win2016-VM2:vNAE2343991/Field Bus MSTP1.VAV-13</t>
  </si>
  <si>
    <t>MUI-SRV04:vNAE2343959/Field Bus MSTP1.VAV-13</t>
  </si>
  <si>
    <t>Win2016-VM2:vNAE2343996/Field Bus MSTP1.VAV-14</t>
  </si>
  <si>
    <t>Win2016-VM2:vNAE2343987/Field Bus MSTP1.VAV-14</t>
  </si>
  <si>
    <t>Win2016-VM2:vNAE2343989/Field Bus MSTP1.VAV-14</t>
  </si>
  <si>
    <t>Win2016-VM2:vNAE2343988/Field Bus MSTP1.VAV-14</t>
  </si>
  <si>
    <t>Win2016-VM2:vNAE2343990/Field Bus MSTP1.VAV-14</t>
  </si>
  <si>
    <t>Win2016-VM2:vNAE2343993/Field Bus MSTP1.VAV-14</t>
  </si>
  <si>
    <t>Win2016-VM2:vNAE2343701/Field Bus MSTP1.VAV-14</t>
  </si>
  <si>
    <t>Win2016-VM2:vNAE2343991/Field Bus MSTP1.VAV-14</t>
  </si>
  <si>
    <t>MUI-SRV04:vNAE2343959/Field Bus MSTP1.VAV-14</t>
  </si>
  <si>
    <t>MUI-SRV04:vNAE2343959/Field Bus MSTP1.VAV-15</t>
  </si>
  <si>
    <t>Win2016-VM2:vNAE2343989/Field Bus MSTP1.VAV-16</t>
  </si>
  <si>
    <t>Win2016-VM2:vNAE2343988/Field Bus MSTP1.VAV-16</t>
  </si>
  <si>
    <t>Win2016-VM2:vNAE2343990/Field Bus MSTP1.VAV-16</t>
  </si>
  <si>
    <t>Win2016-VM2:vNAE2343993/Field Bus MSTP1.VAV-16</t>
  </si>
  <si>
    <t>Win2016-VM2:vNAE2343701/Field Bus MSTP1.VAV-16</t>
  </si>
  <si>
    <t>Win2016-VM2:vNAE2343991/Field Bus MSTP1.VAV-16</t>
  </si>
  <si>
    <t>MUI-SRV04:vNAE2343959/Field Bus MSTP1.VAV-16</t>
  </si>
  <si>
    <t>Win2016-VM2:vNAE2343996/Field Bus MSTP1.VAV-17</t>
  </si>
  <si>
    <t>Win2016-VM2:vNAE2343987/Field Bus MSTP1.VAV-17</t>
  </si>
  <si>
    <t>Win2016-VM2:vNAE2343989/Field Bus MSTP1.VAV-17</t>
  </si>
  <si>
    <t>Win2016-VM2:vNAE2343988/Field Bus MSTP1.VAV-17</t>
  </si>
  <si>
    <t>MUI-SRV04:vNAE2343959/Field Bus MSTP1.VAV-17</t>
  </si>
  <si>
    <t>Win2016-VM2:vNAE2343991/Field Bus MSTP1.VAV-18</t>
  </si>
  <si>
    <t>MUI-SRV04:vNAE2343959/Field Bus MSTP1.VAV-18</t>
  </si>
  <si>
    <t>Win2016-VM2:vNAE2343996/Field Bus MSTP1.VAV-19</t>
  </si>
  <si>
    <t>Win2016-VM2:vNAE2343987/Field Bus MSTP1.VAV-19</t>
  </si>
  <si>
    <t>Win2016-VM2:vNAE2343989/Field Bus MSTP1.VAV-19</t>
  </si>
  <si>
    <t>Win2016-VM2:vNAE2343988/Field Bus MSTP1.VAV-19</t>
  </si>
  <si>
    <t>Win2016-VM2:vNAE2343990/Field Bus MSTP1.VAV-19</t>
  </si>
  <si>
    <t>Win2016-VM2:vNAE2343993/Field Bus MSTP1.VAV-19</t>
  </si>
  <si>
    <t>Win2016-VM2:vNAE2343701/Field Bus MSTP1.VAV-19</t>
  </si>
  <si>
    <t>Win2016-VM2:vNAE2343991/Field Bus MSTP1.VAV-19</t>
  </si>
  <si>
    <t>MUI-SRV04:vNAE2343959/Field Bus MSTP1.VAV-19</t>
  </si>
  <si>
    <t>Win2016-VM2:vNAE2343996/Field Bus MSTP1.VAV-20</t>
  </si>
  <si>
    <t>Win2016-VM2:vNAE2343987/Field Bus MSTP1.VAV-20</t>
  </si>
  <si>
    <t>MUI-SRV04:vNAE2343959/Field Bus MSTP1.VAV-20</t>
  </si>
  <si>
    <t>Win2016-VM2:vNAE2343701/Field Bus MSTP1.VAV-21</t>
  </si>
  <si>
    <t>Win2016-VM2:vNAE2343991/Field Bus MSTP1.VAV-21</t>
  </si>
  <si>
    <t>MUI-SRV04:vNAE2343959/Field Bus MSTP1.VAV-21</t>
  </si>
  <si>
    <t>Win2016-VM2:vNAE2343996/Field Bus MSTP1.VAV-22</t>
  </si>
  <si>
    <t>Win2016-VM2:vNAE2343987/Field Bus MSTP1.VAV-22</t>
  </si>
  <si>
    <t>Win2016-VM2:vNAE2343989/Field Bus MSTP1.VAV-22</t>
  </si>
  <si>
    <t>Win2016-VM2:vNAE2343988/Field Bus MSTP1.VAV-22</t>
  </si>
  <si>
    <t>Win2016-VM2:vNAE2343990/Field Bus MSTP1.VAV-22</t>
  </si>
  <si>
    <t>Win2016-VM2:vNAE2343993/Field Bus MSTP1.VAV-22</t>
  </si>
  <si>
    <t>Win2016-VM2:vNAE2343701/Field Bus MSTP1.VAV-22</t>
  </si>
  <si>
    <t>Win2016-VM2:vNAE2343991/Field Bus MSTP1.VAV-22</t>
  </si>
  <si>
    <t>MUI-SRV04:vNAE2343959/Field Bus MSTP1.VAV-22</t>
  </si>
  <si>
    <t>Win2016-VM2:vNAE2343996/Field Bus MSTP1.VAV-23</t>
  </si>
  <si>
    <t>Win2016-VM2:vNAE2343987/Field Bus MSTP1.VAV-23</t>
  </si>
  <si>
    <t>MUI-SRV04:vNAE2343959/Field Bus MSTP1.VAV-23</t>
  </si>
  <si>
    <t>Win2016-VM2:vNAE2343991/Field Bus MSTP1.VAV-24</t>
  </si>
  <si>
    <t>MUI-SRV04:vNAE2343959/Field Bus MSTP1.VAV-24</t>
  </si>
  <si>
    <t>Win2016-VM2:vNAE2343996/Field Bus MSTP1.VAV-25</t>
  </si>
  <si>
    <t>Win2016-VM2:vNAE2343987/Field Bus MSTP1.VAV-25</t>
  </si>
  <si>
    <t>Win2016-VM2:vNAE2343989/Field Bus MSTP1.VAV-25</t>
  </si>
  <si>
    <t>Win2016-VM2:vNAE2343988/Field Bus MSTP1.VAV-25</t>
  </si>
  <si>
    <t>Win2016-VM2:vNAE2343990/Field Bus MSTP1.VAV-25</t>
  </si>
  <si>
    <t>Win2016-VM2:vNAE2343993/Field Bus MSTP1.VAV-25</t>
  </si>
  <si>
    <t>Win2016-VM2:vNAE2343701/Field Bus MSTP1.VAV-25</t>
  </si>
  <si>
    <t>Win2016-VM2:vNAE2343991/Field Bus MSTP1.VAV-25</t>
  </si>
  <si>
    <t>MUI-SRV04:vNAE2343959/Field Bus MSTP1.VAV-25</t>
  </si>
  <si>
    <t>Win2016-VM2:vNAE2343996/Field Bus MSTP1.VAV-26</t>
  </si>
  <si>
    <t>Win2016-VM2:vNAE2343987/Field Bus MSTP1.VAV-26</t>
  </si>
  <si>
    <t>Win2016-VM2:vNAE2343989/Field Bus MSTP1.VAV-26</t>
  </si>
  <si>
    <t>Win2016-VM2:vNAE2343988/Field Bus MSTP1.VAV-26</t>
  </si>
  <si>
    <t>MUI-SRV04:vNAE2343959/Field Bus MSTP1.VAV-26</t>
  </si>
  <si>
    <t>MUI-SRV04:vNAE2343959/Field Bus MSTP1.VAV-27</t>
  </si>
  <si>
    <t>MUI-SRV04:vNAE2343959/Field Bus MSTP1.VAV-28</t>
  </si>
  <si>
    <t>MUI-SRV04:vNAE2343959/Field Bus MSTP1.VAV-29</t>
  </si>
  <si>
    <t>MUI-SRV04:vNAE2343959/Field Bus MSTP1.VAV-30</t>
  </si>
  <si>
    <t>MUI-SRV04:vNAE2343959/Field Bus MSTP1.VAV-31</t>
  </si>
  <si>
    <t>MUI-SRV04:vNAE2343959/Field Bus MSTP1.VAV-32</t>
  </si>
  <si>
    <t>MUI-SRV04:vNAE2343959/Field Bus MSTP1.VAV-33</t>
  </si>
  <si>
    <t>MUI-SRV04:vNAE2343959/Field Bus MSTP1.VAV-34</t>
  </si>
  <si>
    <t>MUI-SRV04:vNAE2343959/Field Bus MSTP1.VAV-35</t>
  </si>
  <si>
    <t>MUI-SRV04:vNAE2343959/Field Bus MSTP1.VAV-36</t>
  </si>
  <si>
    <t>MUI-SRV04:vNAE2343959/Field Bus MSTP1.VAV-37</t>
  </si>
  <si>
    <t>MUI-SRV04:vNAE2343959/Field Bus MSTP1.VAV-38</t>
  </si>
  <si>
    <t>MUI-SRV04:vNAE2343959/Field Bus MSTP1.VAV-39</t>
  </si>
  <si>
    <t>MUI-SRV04:vNAE2343959/Field Bus MSTP1.VAV-40</t>
  </si>
  <si>
    <t>MUI-SRV04:vNAE2343959/Field Bus MSTP1.VAV-41</t>
  </si>
  <si>
    <t>MUI-SRV04:vNAE2343959/Field Bus MSTP1.VAV-42</t>
  </si>
  <si>
    <t>MUI-SRV04:vNAE2343959/Field Bus MSTP1.VAV-43</t>
  </si>
  <si>
    <t>MUI-SRV04:vNAE2343959/Field Bus MSTP1.VAV44</t>
  </si>
  <si>
    <t>MUI-SRV04:vNAE2343959</t>
  </si>
  <si>
    <t>Audits</t>
  </si>
  <si>
    <t>Spaces</t>
  </si>
  <si>
    <t>Equipment</t>
  </si>
  <si>
    <t>AHU-07</t>
  </si>
  <si>
    <t>BLR-05</t>
  </si>
  <si>
    <t>CHLR-06</t>
  </si>
  <si>
    <t>Metasys Objects</t>
  </si>
  <si>
    <t>VAV-08</t>
  </si>
  <si>
    <t>VAV-09</t>
  </si>
  <si>
    <t>VAV-10</t>
  </si>
  <si>
    <t>VAV-11</t>
  </si>
  <si>
    <t>VAV-12</t>
  </si>
  <si>
    <t>VAV-13</t>
  </si>
  <si>
    <t>VAV-14</t>
  </si>
  <si>
    <t>VAV-15</t>
  </si>
  <si>
    <t>VAV-16</t>
  </si>
  <si>
    <t>VAV-17</t>
  </si>
  <si>
    <t>VAV-18</t>
  </si>
  <si>
    <t>VAV-19</t>
  </si>
  <si>
    <t>VAV-20</t>
  </si>
  <si>
    <t>VAV-21</t>
  </si>
  <si>
    <t>VAV-22</t>
  </si>
  <si>
    <t>VAV-23</t>
  </si>
  <si>
    <t>VAV-24</t>
  </si>
  <si>
    <t>VAV-25</t>
  </si>
  <si>
    <t>VAV-26</t>
  </si>
  <si>
    <t>VAV-27</t>
  </si>
  <si>
    <t>VAV-28</t>
  </si>
  <si>
    <t>VAV-29</t>
  </si>
  <si>
    <t>VAV-30</t>
  </si>
  <si>
    <t>VAV-31</t>
  </si>
  <si>
    <t>VAV-32</t>
  </si>
  <si>
    <t>VAV-33</t>
  </si>
  <si>
    <t>VAV-34</t>
  </si>
  <si>
    <t>VAV-35</t>
  </si>
  <si>
    <t>VAV-36</t>
  </si>
  <si>
    <t>VAV-37</t>
  </si>
  <si>
    <t>VAV-38</t>
  </si>
  <si>
    <t>VAV-39</t>
  </si>
  <si>
    <t>VAV-40</t>
  </si>
  <si>
    <t>VAV-41</t>
  </si>
  <si>
    <t>VAV-42</t>
  </si>
  <si>
    <t>VAV-43</t>
  </si>
  <si>
    <t>507 E Michigan Street Campus</t>
  </si>
  <si>
    <t>Asia</t>
  </si>
  <si>
    <t>Bathroom</t>
  </si>
  <si>
    <t>Building 1</t>
  </si>
  <si>
    <t>Building 2</t>
  </si>
  <si>
    <t>Cubes</t>
  </si>
  <si>
    <t>Electrical Room</t>
  </si>
  <si>
    <t>Europe (N2)</t>
  </si>
  <si>
    <t>Floor 1</t>
  </si>
  <si>
    <t>France</t>
  </si>
  <si>
    <t>Germany</t>
  </si>
  <si>
    <t>Johnson Controls</t>
  </si>
  <si>
    <t>Maintenance Area</t>
  </si>
  <si>
    <t>Mechanical Room</t>
  </si>
  <si>
    <t>Milwaukee</t>
  </si>
  <si>
    <t>North America (BACnet)</t>
  </si>
  <si>
    <t>Office 1</t>
  </si>
  <si>
    <t>Office Area</t>
  </si>
  <si>
    <t>Room 1</t>
  </si>
  <si>
    <t>Room 2</t>
  </si>
  <si>
    <t>Room 3</t>
  </si>
  <si>
    <t>Room 4</t>
  </si>
  <si>
    <t>Room 5</t>
  </si>
  <si>
    <t>Spain</t>
  </si>
  <si>
    <t>DA-T: 55</t>
  </si>
  <si>
    <t>DPR-O: 0</t>
  </si>
  <si>
    <t>HTG-O: 0</t>
  </si>
  <si>
    <t>OCC-SCHEDULE: NonOccupato</t>
  </si>
  <si>
    <t>SA-F: 0</t>
  </si>
  <si>
    <t>SAFLOW-SP: 0</t>
  </si>
  <si>
    <t>UNITEN-MODE: Abilitato</t>
  </si>
  <si>
    <t>ZN-SP: 72</t>
  </si>
  <si>
    <t>Equipment Points</t>
  </si>
  <si>
    <t xml:space="preserve">Space Equipment </t>
  </si>
  <si>
    <t>Space Types</t>
  </si>
  <si>
    <t>Building</t>
  </si>
  <si>
    <t>Floor</t>
  </si>
  <si>
    <t>Generic</t>
  </si>
  <si>
    <t>Room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</si>
</sst>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"/>
  <sheetViews>
    <sheetView tabSelected="1" topLeftCell="B1" workbookViewId="0">
      <selection activeCell="C5" sqref="C5"/>
    </sheetView>
  </sheetViews>
  <sheetFormatPr defaultRowHeight="15" x14ac:dyDescent="0.25"/>
  <cols>
    <col min="1" max="1" width="158.7109375" customWidth="1"/>
    <col min="2" max="2" width="26.42578125" customWidth="1"/>
    <col min="3" max="3" width="28.7109375" customWidth="1"/>
    <col min="4" max="4" width="22.42578125" customWidth="1"/>
    <col min="5" max="5" width="20.140625" customWidth="1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t="s">
        <v>3</v>
      </c>
      <c r="B2" t="s">
        <v>308</v>
      </c>
      <c r="C2" s="2" t="str">
        <f>ReadMsProp(A2,B2)</f>
        <v>50,0974426</v>
      </c>
    </row>
    <row r="3" spans="1:3" x14ac:dyDescent="0.25">
      <c r="A3" t="s">
        <v>18</v>
      </c>
      <c r="B3" t="s">
        <v>17</v>
      </c>
      <c r="C3" s="2" t="str">
        <f>ReadMsProps(A3,B3)</f>
        <v>Test4,TestM,TestM,TestM,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"/>
  <sheetViews>
    <sheetView topLeftCell="B1" workbookViewId="0">
      <selection activeCell="E3" sqref="E3"/>
    </sheetView>
  </sheetViews>
  <sheetFormatPr defaultRowHeight="15" x14ac:dyDescent="0.25"/>
  <cols>
    <col min="1" max="1" width="180.28515625" customWidth="1"/>
    <col min="2" max="2" width="28.42578125" customWidth="1"/>
    <col min="3" max="4" width="19.140625" customWidth="1"/>
    <col min="5" max="5" width="52.7109375" customWidth="1"/>
  </cols>
  <sheetData>
    <row r="1" spans="1:6" x14ac:dyDescent="0.25">
      <c r="A1" s="1" t="s">
        <v>0</v>
      </c>
      <c r="B1" s="1" t="s">
        <v>1</v>
      </c>
      <c r="C1" s="1" t="s">
        <v>4</v>
      </c>
      <c r="D1" s="1" t="s">
        <v>6</v>
      </c>
      <c r="E1" s="1" t="s">
        <v>7</v>
      </c>
      <c r="F1" s="1"/>
    </row>
    <row r="2" spans="1:6" x14ac:dyDescent="0.25">
      <c r="A2" t="s">
        <v>3</v>
      </c>
      <c r="B2" t="s">
        <v>5</v>
      </c>
      <c r="C2" t="s">
        <v>309</v>
      </c>
      <c r="E2">
        <f>WriteMsProp(A2,B2,C2,D2)</f>
        <v>0</v>
      </c>
    </row>
    <row r="3" spans="1:6" x14ac:dyDescent="0.25">
      <c r="A3" t="s">
        <v>10</v>
      </c>
      <c r="B3" t="s">
        <v>8</v>
      </c>
      <c r="C3" t="s">
        <v>9</v>
      </c>
      <c r="E3">
        <f>WriteMsProps(A3,B3,C3,D3)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"/>
  <sheetViews>
    <sheetView workbookViewId="0">
      <selection activeCell="C7" sqref="C7"/>
    </sheetView>
  </sheetViews>
  <sheetFormatPr defaultRowHeight="15" x14ac:dyDescent="0.25"/>
  <cols>
    <col min="1" max="1" width="67.28515625" customWidth="1"/>
    <col min="2" max="2" width="28.42578125" customWidth="1"/>
    <col min="3" max="3" width="45.28515625" customWidth="1"/>
    <col min="4" max="4" width="19.140625" customWidth="1"/>
  </cols>
  <sheetData>
    <row r="1" spans="1:5" x14ac:dyDescent="0.25">
      <c r="A1" s="1" t="s">
        <v>0</v>
      </c>
      <c r="B1" s="1" t="s">
        <v>11</v>
      </c>
      <c r="C1" s="1" t="s">
        <v>12</v>
      </c>
      <c r="D1" s="1" t="s">
        <v>7</v>
      </c>
      <c r="E1" s="1"/>
    </row>
    <row r="2" spans="1:5" x14ac:dyDescent="0.25">
      <c r="A2" t="s">
        <v>13</v>
      </c>
      <c r="B2" t="s">
        <v>14</v>
      </c>
      <c r="C2" t="s">
        <v>19</v>
      </c>
      <c r="D2">
        <f>SendMsCommand(A2,B2,C2)</f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4"/>
  <sheetViews>
    <sheetView workbookViewId="0">
      <selection activeCell="A4" sqref="A4"/>
    </sheetView>
  </sheetViews>
  <sheetFormatPr defaultRowHeight="15" x14ac:dyDescent="0.25"/>
  <cols>
    <col min="1" max="1663" width="100.7109375" customWidth="1"/>
  </cols>
  <sheetData>
    <row r="1" spans="1:40" x14ac:dyDescent="0.25">
      <c r="A1" s="1" t="s">
        <v>0</v>
      </c>
      <c r="B1" s="1" t="s">
        <v>16</v>
      </c>
    </row>
    <row r="2" spans="1:40" x14ac:dyDescent="0.25">
      <c r="A2" t="s">
        <v>39</v>
      </c>
      <c r="B2">
        <v>1</v>
      </c>
    </row>
    <row r="4" spans="1:40" x14ac:dyDescent="0.25">
      <c r="A4" t="s">
        <v>269</v>
      </c>
      <c r="B4" t="s">
        <v>270</v>
      </c>
      <c r="C4" t="s">
        <v>271</v>
      </c>
      <c r="D4" t="s">
        <v>272</v>
      </c>
      <c r="E4" t="s">
        <v>273</v>
      </c>
      <c r="F4" t="s">
        <v>274</v>
      </c>
      <c r="G4" t="s">
        <v>275</v>
      </c>
      <c r="H4" t="s">
        <v>276</v>
      </c>
      <c r="I4" t="s">
        <v>277</v>
      </c>
      <c r="J4" t="s">
        <v>278</v>
      </c>
      <c r="K4" t="s">
        <v>279</v>
      </c>
      <c r="L4" t="s">
        <v>280</v>
      </c>
      <c r="M4" t="s">
        <v>281</v>
      </c>
      <c r="N4" t="s">
        <v>282</v>
      </c>
      <c r="O4" t="s">
        <v>283</v>
      </c>
      <c r="P4" t="s">
        <v>284</v>
      </c>
      <c r="Q4" t="s">
        <v>285</v>
      </c>
      <c r="R4" t="s">
        <v>286</v>
      </c>
      <c r="S4" t="s">
        <v>287</v>
      </c>
      <c r="T4" t="s">
        <v>288</v>
      </c>
      <c r="U4" t="s">
        <v>289</v>
      </c>
      <c r="V4" t="s">
        <v>290</v>
      </c>
      <c r="W4" t="s">
        <v>291</v>
      </c>
      <c r="X4" t="s">
        <v>292</v>
      </c>
      <c r="Y4" t="s">
        <v>293</v>
      </c>
      <c r="Z4" t="s">
        <v>294</v>
      </c>
      <c r="AA4" t="s">
        <v>296</v>
      </c>
      <c r="AB4" t="s">
        <v>297</v>
      </c>
      <c r="AC4" t="s">
        <v>298</v>
      </c>
      <c r="AD4" t="s">
        <v>299</v>
      </c>
      <c r="AE4" t="s">
        <v>300</v>
      </c>
      <c r="AF4" t="s">
        <v>301</v>
      </c>
      <c r="AG4" t="s">
        <v>302</v>
      </c>
      <c r="AH4" t="s">
        <v>303</v>
      </c>
      <c r="AI4" t="s">
        <v>304</v>
      </c>
      <c r="AJ4" t="s">
        <v>305</v>
      </c>
      <c r="AK4" t="s">
        <v>295</v>
      </c>
      <c r="AL4" t="s">
        <v>310</v>
      </c>
      <c r="AM4" t="s">
        <v>306</v>
      </c>
      <c r="AN4" t="s">
        <v>307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8"/>
  <sheetViews>
    <sheetView workbookViewId="0">
      <selection activeCell="A18" sqref="A18:B18"/>
    </sheetView>
  </sheetViews>
  <sheetFormatPr defaultRowHeight="15" x14ac:dyDescent="0.25"/>
  <cols>
    <col min="2" max="2" width="20.28515625" customWidth="1"/>
    <col min="3" max="3" width="17" customWidth="1"/>
    <col min="4" max="4" width="18.28515625" customWidth="1"/>
    <col min="6" max="6" width="25.140625" customWidth="1"/>
    <col min="7" max="7" width="14.7109375" customWidth="1"/>
    <col min="8" max="8" width="17.140625" customWidth="1"/>
  </cols>
  <sheetData>
    <row r="1" spans="1:40" x14ac:dyDescent="0.25">
      <c r="A1" s="1" t="s">
        <v>453</v>
      </c>
    </row>
    <row r="4" spans="1:40" x14ac:dyDescent="0.25">
      <c r="A4" t="s">
        <v>454</v>
      </c>
      <c r="B4" t="s">
        <v>455</v>
      </c>
      <c r="C4" t="s">
        <v>456</v>
      </c>
      <c r="D4" t="s">
        <v>457</v>
      </c>
      <c r="E4" t="s">
        <v>458</v>
      </c>
      <c r="F4" t="s">
        <v>459</v>
      </c>
      <c r="G4" t="s">
        <v>460</v>
      </c>
      <c r="H4" t="s">
        <v>461</v>
      </c>
      <c r="I4" t="s">
        <v>462</v>
      </c>
      <c r="J4" t="s">
        <v>463</v>
      </c>
      <c r="K4" t="s">
        <v>464</v>
      </c>
      <c r="L4" t="s">
        <v>465</v>
      </c>
      <c r="M4" t="s">
        <v>466</v>
      </c>
      <c r="N4" t="s">
        <v>467</v>
      </c>
      <c r="O4" t="s">
        <v>468</v>
      </c>
      <c r="P4" t="s">
        <v>469</v>
      </c>
      <c r="Q4" t="s">
        <v>470</v>
      </c>
      <c r="R4" t="s">
        <v>471</v>
      </c>
      <c r="S4" t="s">
        <v>472</v>
      </c>
      <c r="T4" t="s">
        <v>473</v>
      </c>
      <c r="U4" t="s">
        <v>474</v>
      </c>
      <c r="V4" t="s">
        <v>475</v>
      </c>
      <c r="W4" t="s">
        <v>476</v>
      </c>
      <c r="X4" t="s">
        <v>477</v>
      </c>
      <c r="Y4" t="s">
        <v>478</v>
      </c>
      <c r="Z4" t="s">
        <v>479</v>
      </c>
      <c r="AA4" t="s">
        <v>480</v>
      </c>
      <c r="AB4" t="s">
        <v>481</v>
      </c>
      <c r="AC4" t="s">
        <v>482</v>
      </c>
      <c r="AD4" t="s">
        <v>483</v>
      </c>
      <c r="AE4" t="s">
        <v>484</v>
      </c>
      <c r="AF4" t="s">
        <v>485</v>
      </c>
      <c r="AG4" t="s">
        <v>486</v>
      </c>
      <c r="AH4" t="s">
        <v>487</v>
      </c>
      <c r="AI4" t="s">
        <v>488</v>
      </c>
      <c r="AJ4" t="s">
        <v>489</v>
      </c>
      <c r="AK4" t="s">
        <v>490</v>
      </c>
      <c r="AL4" t="s">
        <v>491</v>
      </c>
      <c r="AM4" t="s">
        <v>492</v>
      </c>
      <c r="AN4" t="s">
        <v>493</v>
      </c>
    </row>
    <row r="6" spans="1:40" x14ac:dyDescent="0.25">
      <c r="A6" s="1" t="s">
        <v>526</v>
      </c>
    </row>
    <row r="8" spans="1:40" x14ac:dyDescent="0.25">
      <c r="A8" t="s">
        <v>518</v>
      </c>
      <c r="B8" t="s">
        <v>519</v>
      </c>
      <c r="C8" t="s">
        <v>520</v>
      </c>
      <c r="D8" t="s">
        <v>521</v>
      </c>
      <c r="E8" t="s">
        <v>522</v>
      </c>
      <c r="F8" t="s">
        <v>523</v>
      </c>
      <c r="G8" t="s">
        <v>524</v>
      </c>
      <c r="H8" t="s">
        <v>525</v>
      </c>
    </row>
    <row r="14" spans="1:40" x14ac:dyDescent="0.25">
      <c r="A14" s="1" t="s">
        <v>527</v>
      </c>
    </row>
    <row r="16" spans="1:40" x14ac:dyDescent="0.25">
      <c r="A16" t="s">
        <v>484</v>
      </c>
    </row>
    <row r="18" spans="1:1" s="1" customFormat="1" x14ac:dyDescent="0.25">
      <c r="A18" s="1" t="s">
        <v>528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workbookViewId="0">
      <selection activeCell="F15" sqref="F15"/>
    </sheetView>
  </sheetViews>
  <sheetFormatPr defaultRowHeight="15" x14ac:dyDescent="0.25"/>
  <sheetData>
    <row r="1" spans="1:25" x14ac:dyDescent="0.25">
      <c r="A1" s="1" t="s">
        <v>452</v>
      </c>
    </row>
    <row r="4" spans="1:25" x14ac:dyDescent="0.25">
      <c r="A4" t="s">
        <v>494</v>
      </c>
      <c r="B4" t="s">
        <v>495</v>
      </c>
      <c r="C4" t="s">
        <v>496</v>
      </c>
      <c r="D4" t="s">
        <v>497</v>
      </c>
      <c r="E4" t="s">
        <v>498</v>
      </c>
      <c r="F4" t="s">
        <v>499</v>
      </c>
      <c r="G4" t="s">
        <v>500</v>
      </c>
      <c r="H4" t="s">
        <v>501</v>
      </c>
      <c r="I4" t="s">
        <v>502</v>
      </c>
      <c r="J4" t="s">
        <v>502</v>
      </c>
      <c r="K4" t="s">
        <v>503</v>
      </c>
      <c r="L4" t="s">
        <v>504</v>
      </c>
      <c r="M4" t="s">
        <v>505</v>
      </c>
      <c r="N4" t="s">
        <v>506</v>
      </c>
      <c r="O4" t="s">
        <v>507</v>
      </c>
      <c r="P4" t="s">
        <v>508</v>
      </c>
      <c r="Q4" t="s">
        <v>509</v>
      </c>
      <c r="R4" t="s">
        <v>510</v>
      </c>
      <c r="S4" t="s">
        <v>511</v>
      </c>
      <c r="T4" t="s">
        <v>512</v>
      </c>
      <c r="U4" t="s">
        <v>513</v>
      </c>
      <c r="V4" t="s">
        <v>514</v>
      </c>
      <c r="W4" t="s">
        <v>515</v>
      </c>
      <c r="X4" t="s">
        <v>516</v>
      </c>
      <c r="Y4" t="s">
        <v>517</v>
      </c>
    </row>
    <row r="17" spans="1:4" x14ac:dyDescent="0.25">
      <c r="A17" s="1" t="s">
        <v>528</v>
      </c>
    </row>
    <row r="20" spans="1:4" x14ac:dyDescent="0.25">
      <c r="A20" t="s">
        <v>529</v>
      </c>
      <c r="B20" t="s">
        <v>530</v>
      </c>
      <c r="C20" t="s">
        <v>531</v>
      </c>
      <c r="D20" t="s">
        <v>532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Q4"/>
  <sheetViews>
    <sheetView workbookViewId="0"/>
  </sheetViews>
  <sheetFormatPr defaultRowHeight="15" x14ac:dyDescent="0.25"/>
  <cols>
    <col min="1" max="340" width="100.7109375" customWidth="1"/>
  </cols>
  <sheetData>
    <row r="1" spans="1:381" x14ac:dyDescent="0.25">
      <c r="A1" s="1" t="s">
        <v>15</v>
      </c>
    </row>
    <row r="4" spans="1:381" x14ac:dyDescent="0.25">
      <c r="A4" t="s">
        <v>322</v>
      </c>
      <c r="B4" t="s">
        <v>23</v>
      </c>
      <c r="C4" t="s">
        <v>20</v>
      </c>
      <c r="D4" t="s">
        <v>319</v>
      </c>
      <c r="E4" t="s">
        <v>320</v>
      </c>
      <c r="F4" t="s">
        <v>24</v>
      </c>
      <c r="G4" t="s">
        <v>321</v>
      </c>
      <c r="H4" t="s">
        <v>22</v>
      </c>
      <c r="I4" t="s">
        <v>21</v>
      </c>
      <c r="J4" t="s">
        <v>326</v>
      </c>
      <c r="K4" t="s">
        <v>325</v>
      </c>
      <c r="L4" t="s">
        <v>25</v>
      </c>
      <c r="M4" t="s">
        <v>323</v>
      </c>
      <c r="N4" t="s">
        <v>27</v>
      </c>
      <c r="O4" t="s">
        <v>28</v>
      </c>
      <c r="P4" t="s">
        <v>29</v>
      </c>
      <c r="Q4" t="s">
        <v>324</v>
      </c>
      <c r="R4" t="s">
        <v>26</v>
      </c>
      <c r="S4" t="s">
        <v>331</v>
      </c>
      <c r="T4" t="s">
        <v>330</v>
      </c>
      <c r="U4" t="s">
        <v>30</v>
      </c>
      <c r="V4" t="s">
        <v>328</v>
      </c>
      <c r="W4" t="s">
        <v>31</v>
      </c>
      <c r="X4" t="s">
        <v>32</v>
      </c>
      <c r="Y4" t="s">
        <v>33</v>
      </c>
      <c r="Z4" t="s">
        <v>329</v>
      </c>
      <c r="AA4" t="s">
        <v>327</v>
      </c>
      <c r="AB4" t="s">
        <v>34</v>
      </c>
      <c r="AC4" t="s">
        <v>38</v>
      </c>
      <c r="AD4" t="s">
        <v>337</v>
      </c>
      <c r="AE4" t="s">
        <v>335</v>
      </c>
      <c r="AF4" t="s">
        <v>35</v>
      </c>
      <c r="AG4" t="s">
        <v>333</v>
      </c>
      <c r="AH4" t="s">
        <v>336</v>
      </c>
      <c r="AI4" t="s">
        <v>36</v>
      </c>
      <c r="AJ4" t="s">
        <v>37</v>
      </c>
      <c r="AK4" t="s">
        <v>334</v>
      </c>
      <c r="AL4" t="s">
        <v>332</v>
      </c>
      <c r="AM4" t="s">
        <v>343</v>
      </c>
      <c r="AN4" t="s">
        <v>339</v>
      </c>
      <c r="AO4" t="s">
        <v>39</v>
      </c>
      <c r="AP4" t="s">
        <v>41</v>
      </c>
      <c r="AQ4" t="s">
        <v>340</v>
      </c>
      <c r="AR4" t="s">
        <v>342</v>
      </c>
      <c r="AS4" t="s">
        <v>341</v>
      </c>
      <c r="AT4" t="s">
        <v>338</v>
      </c>
      <c r="AU4" t="s">
        <v>40</v>
      </c>
      <c r="AV4" t="s">
        <v>345</v>
      </c>
      <c r="AW4" t="s">
        <v>46</v>
      </c>
      <c r="AX4" t="s">
        <v>42</v>
      </c>
      <c r="AY4" t="s">
        <v>44</v>
      </c>
      <c r="AZ4" t="s">
        <v>47</v>
      </c>
      <c r="BA4" t="s">
        <v>344</v>
      </c>
      <c r="BB4" t="s">
        <v>48</v>
      </c>
      <c r="BC4" t="s">
        <v>45</v>
      </c>
      <c r="BD4" t="s">
        <v>43</v>
      </c>
      <c r="BE4" t="s">
        <v>352</v>
      </c>
      <c r="BF4" t="s">
        <v>349</v>
      </c>
      <c r="BG4" t="s">
        <v>49</v>
      </c>
      <c r="BH4" t="s">
        <v>347</v>
      </c>
      <c r="BI4" t="s">
        <v>350</v>
      </c>
      <c r="BJ4" t="s">
        <v>50</v>
      </c>
      <c r="BK4" t="s">
        <v>351</v>
      </c>
      <c r="BL4" t="s">
        <v>348</v>
      </c>
      <c r="BM4" t="s">
        <v>346</v>
      </c>
      <c r="BN4" t="s">
        <v>355</v>
      </c>
      <c r="BO4" t="s">
        <v>54</v>
      </c>
      <c r="BP4" t="s">
        <v>353</v>
      </c>
      <c r="BQ4" t="s">
        <v>52</v>
      </c>
      <c r="BR4" t="s">
        <v>55</v>
      </c>
      <c r="BS4" t="s">
        <v>354</v>
      </c>
      <c r="BT4" t="s">
        <v>56</v>
      </c>
      <c r="BU4" t="s">
        <v>53</v>
      </c>
      <c r="BV4" t="s">
        <v>51</v>
      </c>
      <c r="BW4" t="s">
        <v>362</v>
      </c>
      <c r="BX4" t="s">
        <v>359</v>
      </c>
      <c r="BY4" t="s">
        <v>57</v>
      </c>
      <c r="BZ4" t="s">
        <v>357</v>
      </c>
      <c r="CA4" t="s">
        <v>360</v>
      </c>
      <c r="CB4" t="s">
        <v>58</v>
      </c>
      <c r="CC4" t="s">
        <v>361</v>
      </c>
      <c r="CD4" t="s">
        <v>358</v>
      </c>
      <c r="CE4" t="s">
        <v>356</v>
      </c>
      <c r="CF4" t="s">
        <v>364</v>
      </c>
      <c r="CG4" t="s">
        <v>63</v>
      </c>
      <c r="CH4" t="s">
        <v>59</v>
      </c>
      <c r="CI4" t="s">
        <v>61</v>
      </c>
      <c r="CJ4" t="s">
        <v>64</v>
      </c>
      <c r="CK4" t="s">
        <v>363</v>
      </c>
      <c r="CL4" t="s">
        <v>65</v>
      </c>
      <c r="CM4" t="s">
        <v>62</v>
      </c>
      <c r="CN4" t="s">
        <v>60</v>
      </c>
      <c r="CO4" t="s">
        <v>373</v>
      </c>
      <c r="CP4" t="s">
        <v>368</v>
      </c>
      <c r="CQ4" t="s">
        <v>371</v>
      </c>
      <c r="CR4" t="s">
        <v>366</v>
      </c>
      <c r="CS4" t="s">
        <v>369</v>
      </c>
      <c r="CT4" t="s">
        <v>372</v>
      </c>
      <c r="CU4" t="s">
        <v>370</v>
      </c>
      <c r="CV4" t="s">
        <v>367</v>
      </c>
      <c r="CW4" t="s">
        <v>365</v>
      </c>
      <c r="CX4" t="s">
        <v>374</v>
      </c>
      <c r="CY4" t="s">
        <v>70</v>
      </c>
      <c r="CZ4" t="s">
        <v>66</v>
      </c>
      <c r="DA4" t="s">
        <v>68</v>
      </c>
      <c r="DB4" t="s">
        <v>71</v>
      </c>
      <c r="DC4" t="s">
        <v>72</v>
      </c>
      <c r="DD4" t="s">
        <v>73</v>
      </c>
      <c r="DE4" t="s">
        <v>69</v>
      </c>
      <c r="DF4" t="s">
        <v>67</v>
      </c>
      <c r="DG4" t="s">
        <v>381</v>
      </c>
      <c r="DH4" t="s">
        <v>376</v>
      </c>
      <c r="DI4" t="s">
        <v>379</v>
      </c>
      <c r="DJ4" t="s">
        <v>75</v>
      </c>
      <c r="DK4" t="s">
        <v>377</v>
      </c>
      <c r="DL4" t="s">
        <v>380</v>
      </c>
      <c r="DM4" t="s">
        <v>378</v>
      </c>
      <c r="DN4" t="s">
        <v>375</v>
      </c>
      <c r="DO4" t="s">
        <v>74</v>
      </c>
      <c r="DP4" t="s">
        <v>386</v>
      </c>
      <c r="DQ4" t="s">
        <v>385</v>
      </c>
      <c r="DR4" t="s">
        <v>76</v>
      </c>
      <c r="DS4" t="s">
        <v>383</v>
      </c>
      <c r="DT4" t="s">
        <v>77</v>
      </c>
      <c r="DU4" t="s">
        <v>78</v>
      </c>
      <c r="DV4" t="s">
        <v>79</v>
      </c>
      <c r="DW4" t="s">
        <v>384</v>
      </c>
      <c r="DX4" t="s">
        <v>382</v>
      </c>
      <c r="DY4" t="s">
        <v>388</v>
      </c>
      <c r="DZ4" t="s">
        <v>84</v>
      </c>
      <c r="EA4" t="s">
        <v>80</v>
      </c>
      <c r="EB4" t="s">
        <v>82</v>
      </c>
      <c r="EC4" t="s">
        <v>85</v>
      </c>
      <c r="ED4" t="s">
        <v>387</v>
      </c>
      <c r="EE4" t="s">
        <v>86</v>
      </c>
      <c r="EF4" t="s">
        <v>83</v>
      </c>
      <c r="EG4" t="s">
        <v>81</v>
      </c>
      <c r="EH4" t="s">
        <v>397</v>
      </c>
      <c r="EI4" t="s">
        <v>392</v>
      </c>
      <c r="EJ4" t="s">
        <v>395</v>
      </c>
      <c r="EK4" t="s">
        <v>390</v>
      </c>
      <c r="EL4" t="s">
        <v>393</v>
      </c>
      <c r="EM4" t="s">
        <v>396</v>
      </c>
      <c r="EN4" t="s">
        <v>394</v>
      </c>
      <c r="EO4" t="s">
        <v>391</v>
      </c>
      <c r="EP4" t="s">
        <v>389</v>
      </c>
      <c r="EQ4" t="s">
        <v>400</v>
      </c>
      <c r="ER4" t="s">
        <v>89</v>
      </c>
      <c r="ES4" t="s">
        <v>87</v>
      </c>
      <c r="ET4" t="s">
        <v>399</v>
      </c>
      <c r="EU4" t="s">
        <v>90</v>
      </c>
      <c r="EV4" t="s">
        <v>91</v>
      </c>
      <c r="EW4" t="s">
        <v>92</v>
      </c>
      <c r="EX4" t="s">
        <v>88</v>
      </c>
      <c r="EY4" t="s">
        <v>398</v>
      </c>
      <c r="EZ4" t="s">
        <v>403</v>
      </c>
      <c r="FA4" t="s">
        <v>96</v>
      </c>
      <c r="FB4" t="s">
        <v>401</v>
      </c>
      <c r="FC4" t="s">
        <v>94</v>
      </c>
      <c r="FD4" t="s">
        <v>97</v>
      </c>
      <c r="FE4" t="s">
        <v>402</v>
      </c>
      <c r="FF4" t="s">
        <v>98</v>
      </c>
      <c r="FG4" t="s">
        <v>95</v>
      </c>
      <c r="FH4" t="s">
        <v>93</v>
      </c>
      <c r="FI4" t="s">
        <v>412</v>
      </c>
      <c r="FJ4" t="s">
        <v>407</v>
      </c>
      <c r="FK4" t="s">
        <v>410</v>
      </c>
      <c r="FL4" t="s">
        <v>405</v>
      </c>
      <c r="FM4" t="s">
        <v>408</v>
      </c>
      <c r="FN4" t="s">
        <v>411</v>
      </c>
      <c r="FO4" t="s">
        <v>409</v>
      </c>
      <c r="FP4" t="s">
        <v>406</v>
      </c>
      <c r="FQ4" t="s">
        <v>404</v>
      </c>
      <c r="FR4" t="s">
        <v>415</v>
      </c>
      <c r="FS4" t="s">
        <v>101</v>
      </c>
      <c r="FT4" t="s">
        <v>99</v>
      </c>
      <c r="FU4" t="s">
        <v>414</v>
      </c>
      <c r="FV4" t="s">
        <v>102</v>
      </c>
      <c r="FW4" t="s">
        <v>103</v>
      </c>
      <c r="FX4" t="s">
        <v>104</v>
      </c>
      <c r="FY4" t="s">
        <v>100</v>
      </c>
      <c r="FZ4" t="s">
        <v>413</v>
      </c>
      <c r="GA4" t="s">
        <v>417</v>
      </c>
      <c r="GB4" t="s">
        <v>109</v>
      </c>
      <c r="GC4" t="s">
        <v>105</v>
      </c>
      <c r="GD4" t="s">
        <v>107</v>
      </c>
      <c r="GE4" t="s">
        <v>110</v>
      </c>
      <c r="GF4" t="s">
        <v>416</v>
      </c>
      <c r="GG4" t="s">
        <v>111</v>
      </c>
      <c r="GH4" t="s">
        <v>108</v>
      </c>
      <c r="GI4" t="s">
        <v>106</v>
      </c>
      <c r="GJ4" t="s">
        <v>426</v>
      </c>
      <c r="GK4" t="s">
        <v>421</v>
      </c>
      <c r="GL4" t="s">
        <v>424</v>
      </c>
      <c r="GM4" t="s">
        <v>419</v>
      </c>
      <c r="GN4" t="s">
        <v>422</v>
      </c>
      <c r="GO4" t="s">
        <v>425</v>
      </c>
      <c r="GP4" t="s">
        <v>423</v>
      </c>
      <c r="GQ4" t="s">
        <v>420</v>
      </c>
      <c r="GR4" t="s">
        <v>418</v>
      </c>
      <c r="GS4" t="s">
        <v>431</v>
      </c>
      <c r="GT4" t="s">
        <v>430</v>
      </c>
      <c r="GU4" t="s">
        <v>112</v>
      </c>
      <c r="GV4" t="s">
        <v>428</v>
      </c>
      <c r="GW4" t="s">
        <v>113</v>
      </c>
      <c r="GX4" t="s">
        <v>114</v>
      </c>
      <c r="GY4" t="s">
        <v>115</v>
      </c>
      <c r="GZ4" t="s">
        <v>429</v>
      </c>
      <c r="HA4" t="s">
        <v>427</v>
      </c>
      <c r="HB4" t="s">
        <v>432</v>
      </c>
      <c r="HC4" t="s">
        <v>120</v>
      </c>
      <c r="HD4" t="s">
        <v>116</v>
      </c>
      <c r="HE4" t="s">
        <v>118</v>
      </c>
      <c r="HF4" t="s">
        <v>121</v>
      </c>
      <c r="HG4" t="s">
        <v>122</v>
      </c>
      <c r="HH4" t="s">
        <v>123</v>
      </c>
      <c r="HI4" t="s">
        <v>119</v>
      </c>
      <c r="HJ4" t="s">
        <v>117</v>
      </c>
      <c r="HK4" t="s">
        <v>433</v>
      </c>
      <c r="HL4" t="s">
        <v>128</v>
      </c>
      <c r="HM4" t="s">
        <v>124</v>
      </c>
      <c r="HN4" t="s">
        <v>126</v>
      </c>
      <c r="HO4" t="s">
        <v>129</v>
      </c>
      <c r="HP4" t="s">
        <v>130</v>
      </c>
      <c r="HQ4" t="s">
        <v>131</v>
      </c>
      <c r="HR4" t="s">
        <v>127</v>
      </c>
      <c r="HS4" t="s">
        <v>125</v>
      </c>
      <c r="HT4" t="s">
        <v>434</v>
      </c>
      <c r="HU4" t="s">
        <v>136</v>
      </c>
      <c r="HV4" t="s">
        <v>132</v>
      </c>
      <c r="HW4" t="s">
        <v>134</v>
      </c>
      <c r="HX4" t="s">
        <v>137</v>
      </c>
      <c r="HY4" t="s">
        <v>138</v>
      </c>
      <c r="HZ4" t="s">
        <v>139</v>
      </c>
      <c r="IA4" t="s">
        <v>135</v>
      </c>
      <c r="IB4" t="s">
        <v>133</v>
      </c>
      <c r="IC4" t="s">
        <v>435</v>
      </c>
      <c r="ID4" t="s">
        <v>144</v>
      </c>
      <c r="IE4" t="s">
        <v>140</v>
      </c>
      <c r="IF4" t="s">
        <v>142</v>
      </c>
      <c r="IG4" t="s">
        <v>145</v>
      </c>
      <c r="IH4" t="s">
        <v>146</v>
      </c>
      <c r="II4" t="s">
        <v>147</v>
      </c>
      <c r="IJ4" t="s">
        <v>143</v>
      </c>
      <c r="IK4" t="s">
        <v>141</v>
      </c>
      <c r="IL4" t="s">
        <v>436</v>
      </c>
      <c r="IM4" t="s">
        <v>152</v>
      </c>
      <c r="IN4" t="s">
        <v>148</v>
      </c>
      <c r="IO4" t="s">
        <v>150</v>
      </c>
      <c r="IP4" t="s">
        <v>153</v>
      </c>
      <c r="IQ4" t="s">
        <v>154</v>
      </c>
      <c r="IR4" t="s">
        <v>155</v>
      </c>
      <c r="IS4" t="s">
        <v>151</v>
      </c>
      <c r="IT4" t="s">
        <v>149</v>
      </c>
      <c r="IU4" t="s">
        <v>437</v>
      </c>
      <c r="IV4" t="s">
        <v>160</v>
      </c>
      <c r="IW4" t="s">
        <v>156</v>
      </c>
      <c r="IX4" t="s">
        <v>158</v>
      </c>
      <c r="IY4" t="s">
        <v>161</v>
      </c>
      <c r="IZ4" t="s">
        <v>162</v>
      </c>
      <c r="JA4" t="s">
        <v>163</v>
      </c>
      <c r="JB4" t="s">
        <v>159</v>
      </c>
      <c r="JC4" t="s">
        <v>157</v>
      </c>
      <c r="JD4" t="s">
        <v>438</v>
      </c>
      <c r="JE4" t="s">
        <v>168</v>
      </c>
      <c r="JF4" t="s">
        <v>164</v>
      </c>
      <c r="JG4" t="s">
        <v>166</v>
      </c>
      <c r="JH4" t="s">
        <v>169</v>
      </c>
      <c r="JI4" t="s">
        <v>170</v>
      </c>
      <c r="JJ4" t="s">
        <v>171</v>
      </c>
      <c r="JK4" t="s">
        <v>167</v>
      </c>
      <c r="JL4" t="s">
        <v>165</v>
      </c>
      <c r="JM4" t="s">
        <v>439</v>
      </c>
      <c r="JN4" t="s">
        <v>176</v>
      </c>
      <c r="JO4" t="s">
        <v>172</v>
      </c>
      <c r="JP4" t="s">
        <v>174</v>
      </c>
      <c r="JQ4" t="s">
        <v>177</v>
      </c>
      <c r="JR4" t="s">
        <v>178</v>
      </c>
      <c r="JS4" t="s">
        <v>179</v>
      </c>
      <c r="JT4" t="s">
        <v>175</v>
      </c>
      <c r="JU4" t="s">
        <v>173</v>
      </c>
      <c r="JV4" t="s">
        <v>440</v>
      </c>
      <c r="JW4" t="s">
        <v>184</v>
      </c>
      <c r="JX4" t="s">
        <v>180</v>
      </c>
      <c r="JY4" t="s">
        <v>182</v>
      </c>
      <c r="JZ4" t="s">
        <v>185</v>
      </c>
      <c r="KA4" t="s">
        <v>186</v>
      </c>
      <c r="KB4" t="s">
        <v>187</v>
      </c>
      <c r="KC4" t="s">
        <v>183</v>
      </c>
      <c r="KD4" t="s">
        <v>181</v>
      </c>
      <c r="KE4" t="s">
        <v>441</v>
      </c>
      <c r="KF4" t="s">
        <v>192</v>
      </c>
      <c r="KG4" t="s">
        <v>188</v>
      </c>
      <c r="KH4" t="s">
        <v>190</v>
      </c>
      <c r="KI4" t="s">
        <v>193</v>
      </c>
      <c r="KJ4" t="s">
        <v>194</v>
      </c>
      <c r="KK4" t="s">
        <v>195</v>
      </c>
      <c r="KL4" t="s">
        <v>191</v>
      </c>
      <c r="KM4" t="s">
        <v>189</v>
      </c>
      <c r="KN4" t="s">
        <v>442</v>
      </c>
      <c r="KO4" t="s">
        <v>200</v>
      </c>
      <c r="KP4" t="s">
        <v>196</v>
      </c>
      <c r="KQ4" t="s">
        <v>198</v>
      </c>
      <c r="KR4" t="s">
        <v>201</v>
      </c>
      <c r="KS4" t="s">
        <v>202</v>
      </c>
      <c r="KT4" t="s">
        <v>203</v>
      </c>
      <c r="KU4" t="s">
        <v>199</v>
      </c>
      <c r="KV4" t="s">
        <v>197</v>
      </c>
      <c r="KW4" t="s">
        <v>443</v>
      </c>
      <c r="KX4" t="s">
        <v>208</v>
      </c>
      <c r="KY4" t="s">
        <v>204</v>
      </c>
      <c r="KZ4" t="s">
        <v>206</v>
      </c>
      <c r="LA4" t="s">
        <v>209</v>
      </c>
      <c r="LB4" t="s">
        <v>210</v>
      </c>
      <c r="LC4" t="s">
        <v>211</v>
      </c>
      <c r="LD4" t="s">
        <v>207</v>
      </c>
      <c r="LE4" t="s">
        <v>205</v>
      </c>
      <c r="LF4" t="s">
        <v>444</v>
      </c>
      <c r="LG4" t="s">
        <v>216</v>
      </c>
      <c r="LH4" t="s">
        <v>212</v>
      </c>
      <c r="LI4" t="s">
        <v>214</v>
      </c>
      <c r="LJ4" t="s">
        <v>217</v>
      </c>
      <c r="LK4" t="s">
        <v>218</v>
      </c>
      <c r="LL4" t="s">
        <v>219</v>
      </c>
      <c r="LM4" t="s">
        <v>215</v>
      </c>
      <c r="LN4" t="s">
        <v>213</v>
      </c>
      <c r="LO4" t="s">
        <v>445</v>
      </c>
      <c r="LP4" t="s">
        <v>224</v>
      </c>
      <c r="LQ4" t="s">
        <v>220</v>
      </c>
      <c r="LR4" t="s">
        <v>222</v>
      </c>
      <c r="LS4" t="s">
        <v>225</v>
      </c>
      <c r="LT4" t="s">
        <v>226</v>
      </c>
      <c r="LU4" t="s">
        <v>227</v>
      </c>
      <c r="LV4" t="s">
        <v>223</v>
      </c>
      <c r="LW4" t="s">
        <v>221</v>
      </c>
      <c r="LX4" t="s">
        <v>446</v>
      </c>
      <c r="LY4" t="s">
        <v>232</v>
      </c>
      <c r="LZ4" t="s">
        <v>228</v>
      </c>
      <c r="MA4" t="s">
        <v>230</v>
      </c>
      <c r="MB4" t="s">
        <v>233</v>
      </c>
      <c r="MC4" t="s">
        <v>234</v>
      </c>
      <c r="MD4" t="s">
        <v>235</v>
      </c>
      <c r="ME4" t="s">
        <v>231</v>
      </c>
      <c r="MF4" t="s">
        <v>229</v>
      </c>
      <c r="MG4" t="s">
        <v>447</v>
      </c>
      <c r="MH4" t="s">
        <v>240</v>
      </c>
      <c r="MI4" t="s">
        <v>236</v>
      </c>
      <c r="MJ4" t="s">
        <v>238</v>
      </c>
      <c r="MK4" t="s">
        <v>241</v>
      </c>
      <c r="ML4" t="s">
        <v>242</v>
      </c>
      <c r="MM4" t="s">
        <v>243</v>
      </c>
      <c r="MN4" t="s">
        <v>239</v>
      </c>
      <c r="MO4" t="s">
        <v>237</v>
      </c>
      <c r="MP4" t="s">
        <v>448</v>
      </c>
      <c r="MQ4" t="s">
        <v>248</v>
      </c>
      <c r="MR4" t="s">
        <v>244</v>
      </c>
      <c r="MS4" t="s">
        <v>246</v>
      </c>
      <c r="MT4" t="s">
        <v>249</v>
      </c>
      <c r="MU4" t="s">
        <v>250</v>
      </c>
      <c r="MV4" t="s">
        <v>251</v>
      </c>
      <c r="MW4" t="s">
        <v>247</v>
      </c>
      <c r="MX4" t="s">
        <v>245</v>
      </c>
      <c r="MY4" t="s">
        <v>449</v>
      </c>
      <c r="MZ4" t="s">
        <v>256</v>
      </c>
      <c r="NA4" t="s">
        <v>252</v>
      </c>
      <c r="NB4" t="s">
        <v>254</v>
      </c>
      <c r="NC4" t="s">
        <v>257</v>
      </c>
      <c r="ND4" t="s">
        <v>258</v>
      </c>
      <c r="NE4" t="s">
        <v>259</v>
      </c>
      <c r="NF4" t="s">
        <v>255</v>
      </c>
      <c r="NG4" t="s">
        <v>253</v>
      </c>
      <c r="NH4" t="s">
        <v>260</v>
      </c>
      <c r="NI4" t="s">
        <v>450</v>
      </c>
      <c r="NJ4" t="s">
        <v>261</v>
      </c>
      <c r="NK4" t="s">
        <v>262</v>
      </c>
      <c r="NL4" t="s">
        <v>263</v>
      </c>
      <c r="NM4" t="s">
        <v>264</v>
      </c>
      <c r="NN4" t="s">
        <v>265</v>
      </c>
      <c r="NO4" t="s">
        <v>266</v>
      </c>
      <c r="NP4" t="s">
        <v>267</v>
      </c>
      <c r="NQ4" t="s">
        <v>268</v>
      </c>
    </row>
  </sheetData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1"/>
  <sheetViews>
    <sheetView workbookViewId="0">
      <selection activeCell="A20" sqref="A20"/>
    </sheetView>
  </sheetViews>
  <sheetFormatPr defaultRowHeight="15" x14ac:dyDescent="0.25"/>
  <cols>
    <col min="1" max="340" width="100.7109375" customWidth="1"/>
  </cols>
  <sheetData>
    <row r="1" spans="1:2" x14ac:dyDescent="0.25">
      <c r="A1" s="1" t="s">
        <v>311</v>
      </c>
    </row>
    <row r="3" spans="1:2" x14ac:dyDescent="0.25">
      <c r="A3" t="str">
        <f>ReadAlarms()</f>
        <v>3eccf75e-740b-44d7-9487-97850f800a08,6060e67b-762f-4c26-99f1-2649f8e4be1b,983c1e53-b8b9-474d-ab98-d006b87823ee,87286894-2d93-4091-a806-106dbd849b34,f412b256-4ce0-485a-8085-f72d416d72b3,c3f347d2-7ae4-44ab-b485-313dcfb9860d</v>
      </c>
    </row>
    <row r="6" spans="1:2" x14ac:dyDescent="0.25">
      <c r="A6" s="1" t="s">
        <v>313</v>
      </c>
      <c r="B6" s="1" t="s">
        <v>316</v>
      </c>
    </row>
    <row r="7" spans="1:2" x14ac:dyDescent="0.25">
      <c r="A7" t="str">
        <f>ReadAlarmsForAnObject(B7)</f>
        <v>b6d6018e-fe9f-4c9d-9447-4b26e3c76642,6b215d69-f0c2-49ce-95dc-360e2e104e80,ee0029aa-2f8d-4e64-9f4d-36bb83e563fb,7d3b5f85-ac2f-47fc-b146-793cad58ca3d,dd1e47b4-bdec-43b4-989c-c9494f7e5a0a,289d9c20-88ae-4a5d-9e05-51eb432bc93c,a1b6002a-9949-483e-84d0-c0a8a168d892,498c2355-81e8-408b-bc52-10fefed2b450,09835134-bc59-4ab0-b8a7-682d2da1d8ee,66a1905d-0d66-4914-9285-f9df846d7371,b35bea62-e2d5-4e72-9cb4-776e3054cc8b,ed0bcc87-f53e-4611-800e-591f2dae8951,f5a1b4ec-dfcf-47de-b26c-bcec70739adf,5f2446c1-650b-43bc-878b-8ffb0a6fc33e,ef7e315f-a405-455d-b5ce-9151dc00214b,aee4bd17-e01f-468f-99cb-7f34648e7968</v>
      </c>
      <c r="B7" t="s">
        <v>317</v>
      </c>
    </row>
    <row r="9" spans="1:2" x14ac:dyDescent="0.25">
      <c r="B9" s="1" t="s">
        <v>315</v>
      </c>
    </row>
    <row r="10" spans="1:2" x14ac:dyDescent="0.25">
      <c r="A10" s="1" t="s">
        <v>314</v>
      </c>
    </row>
    <row r="11" spans="1:2" x14ac:dyDescent="0.25">
      <c r="A11" t="str">
        <f>ReadAlarmsForNetworkDevice(B11)</f>
        <v>5d788a26-9e63-43d7-b4a9-4b83ebbc1b28,b37add4f-9190-48ef-a1ce-699f144200cd,a0030f26-fdb9-4cc3-b51e-2ff26c94968c,df378de6-3150-45b7-935b-7ad5ae92d4fc,eb406e95-492e-47b7-9a00-520194a97504,864fff36-e3aa-489a-925f-a3800c4b1fb5,2fdafe49-3d48-4622-8175-3beecc3a4d35,2c56a1f1-c7ae-48e9-b47b-e9066cf5d8b3,4f311028-45c0-4581-8602-b07d3101ec98,cc7862e8-da4c-4d11-a2a3-026c66a10b01,6b5f2622-d72f-480b-9815-2bbb2e730964,3ae354df-6bbd-4955-bd46-7be79963bd3f,dbc945fb-3e06-420f-a80d-936485f3e31a,709c992a-8cb1-4e27-a186-f73bfd9cf465,89fa124e-7425-49e6-a549-0ef11a2af814,532160ca-fbd0-429f-a92e-ae023bdc7e00</v>
      </c>
      <c r="B11" t="s">
        <v>318</v>
      </c>
    </row>
  </sheetData>
  <dataConsolidate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3"/>
  <sheetViews>
    <sheetView workbookViewId="0">
      <selection activeCell="A7" sqref="A7"/>
    </sheetView>
  </sheetViews>
  <sheetFormatPr defaultRowHeight="15" x14ac:dyDescent="0.25"/>
  <cols>
    <col min="1" max="340" width="100.7109375" customWidth="1"/>
  </cols>
  <sheetData>
    <row r="1" spans="1:1" x14ac:dyDescent="0.25">
      <c r="A1" s="1" t="s">
        <v>312</v>
      </c>
    </row>
    <row r="3" spans="1:1" x14ac:dyDescent="0.25">
      <c r="A3" t="str">
        <f>ReadSamples()</f>
        <v>50.0974426,50.0974426,50.0974426,50.0974426,50.0974426,50.0974426,</v>
      </c>
    </row>
  </sheetData>
  <dataConsolidate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3"/>
  <sheetViews>
    <sheetView workbookViewId="0">
      <selection activeCell="A8" sqref="A8"/>
    </sheetView>
  </sheetViews>
  <sheetFormatPr defaultRowHeight="15" x14ac:dyDescent="0.25"/>
  <cols>
    <col min="1" max="1" width="95.5703125" customWidth="1"/>
  </cols>
  <sheetData>
    <row r="1" spans="1:1" x14ac:dyDescent="0.25">
      <c r="A1" s="1" t="s">
        <v>451</v>
      </c>
    </row>
    <row r="3" spans="1:1" x14ac:dyDescent="0.25">
      <c r="A3" t="str">
        <f>ReadAudits()</f>
        <v>36245c09-0022-4d1a-900a-2891466a34b3,59c65d0f-6a5e-4f31-bff2-a83c1f97e4cc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Read</vt:lpstr>
      <vt:lpstr>Write</vt:lpstr>
      <vt:lpstr>Cmd</vt:lpstr>
      <vt:lpstr>Objs</vt:lpstr>
      <vt:lpstr>Equipment</vt:lpstr>
      <vt:lpstr>Spaces</vt:lpstr>
      <vt:lpstr>Devs</vt:lpstr>
      <vt:lpstr>Alarms</vt:lpstr>
      <vt:lpstr>Samples</vt:lpstr>
      <vt:lpstr>Audits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2020-02-25T12:12:59Z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e01c0c-f9b3-4dc4-af0b-a82110cc37cd_Enabled">
    <vt:lpwstr>True</vt:lpwstr>
  </property>
  <property fmtid="{D5CDD505-2E9C-101B-9397-08002B2CF9AE}" pid="3" name="MSIP_Label_6be01c0c-f9b3-4dc4-af0b-a82110cc37cd_SiteId">
    <vt:lpwstr>a1f1e214-7ded-45b6-81a1-9e8ae3459641</vt:lpwstr>
  </property>
  <property fmtid="{D5CDD505-2E9C-101B-9397-08002B2CF9AE}" pid="4" name="MSIP_Label_6be01c0c-f9b3-4dc4-af0b-a82110cc37cd_Owner">
    <vt:lpwstr>jbuldre@jci.com</vt:lpwstr>
  </property>
  <property fmtid="{D5CDD505-2E9C-101B-9397-08002B2CF9AE}" pid="5" name="MSIP_Label_6be01c0c-f9b3-4dc4-af0b-a82110cc37cd_SetDate">
    <vt:lpwstr>2019-09-30T15:25:28.2033633Z</vt:lpwstr>
  </property>
  <property fmtid="{D5CDD505-2E9C-101B-9397-08002B2CF9AE}" pid="6" name="MSIP_Label_6be01c0c-f9b3-4dc4-af0b-a82110cc37cd_Name">
    <vt:lpwstr>Internal </vt:lpwstr>
  </property>
  <property fmtid="{D5CDD505-2E9C-101B-9397-08002B2CF9AE}" pid="7" name="MSIP_Label_6be01c0c-f9b3-4dc4-af0b-a82110cc37cd_Application">
    <vt:lpwstr>Microsoft Azure Information Protection</vt:lpwstr>
  </property>
  <property fmtid="{D5CDD505-2E9C-101B-9397-08002B2CF9AE}" pid="8" name="MSIP_Label_6be01c0c-f9b3-4dc4-af0b-a82110cc37cd_ActionId">
    <vt:lpwstr>ea2ce625-ed9e-4984-bd1f-3748b0eb11bd</vt:lpwstr>
  </property>
  <property fmtid="{D5CDD505-2E9C-101B-9397-08002B2CF9AE}" pid="9" name="MSIP_Label_6be01c0c-f9b3-4dc4-af0b-a82110cc37cd_Extended_MSFT_Method">
    <vt:lpwstr>Automatic</vt:lpwstr>
  </property>
  <property fmtid="{D5CDD505-2E9C-101B-9397-08002B2CF9AE}" pid="10" name="Information Classification">
    <vt:lpwstr>Internal </vt:lpwstr>
  </property>
</Properties>
</file>