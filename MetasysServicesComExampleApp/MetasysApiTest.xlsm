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634" activeTab="9"/>
  </bookViews>
  <sheets>
    <sheet name="Read" sheetId="1" r:id="rId1"/>
    <sheet name="Write" sheetId="2" r:id="rId2"/>
    <sheet name="Cmd" sheetId="3" r:id="rId3"/>
    <sheet name="Objs" sheetId="4" r:id="rId4"/>
    <sheet name="Equipment" sheetId="9" r:id="rId5"/>
    <sheet name="Spaces" sheetId="10" r:id="rId6"/>
    <sheet name="Devs" sheetId="5" r:id="rId7"/>
    <sheet name="Alarms" sheetId="6" r:id="rId8"/>
    <sheet name="Samples" sheetId="7" r:id="rId9"/>
    <sheet name="Audits" sheetId="8" r:id="rId10"/>
    <sheet name="Localize" sheetId="11" r:id="rId11"/>
  </sheets>
  <functionGroups builtInGroupCount="18"/>
  <calcPr calcId="152511"/>
</workbook>
</file>

<file path=xl/calcChain.xml><?xml version="1.0" encoding="utf-8"?>
<calcChain xmlns="http://schemas.openxmlformats.org/spreadsheetml/2006/main">
  <c r="B4" i="11" l="1"/>
  <c r="B8" i="11"/>
  <c r="B12" i="11"/>
  <c r="A3" i="7"/>
  <c r="D2" i="3"/>
  <c r="E3" i="2"/>
  <c r="E2" i="2"/>
  <c r="C3" i="1"/>
  <c r="C2" i="1"/>
  <c r="A6" i="6"/>
  <c r="A10" i="6"/>
</calcChain>
</file>

<file path=xl/sharedStrings.xml><?xml version="1.0" encoding="utf-8"?>
<sst xmlns="http://schemas.openxmlformats.org/spreadsheetml/2006/main" count="566" uniqueCount="549">
  <si>
    <t>FQR</t>
  </si>
  <si>
    <t>Attribute</t>
  </si>
  <si>
    <t>Value</t>
  </si>
  <si>
    <t>New Value</t>
  </si>
  <si>
    <t>name</t>
  </si>
  <si>
    <t>Priority</t>
  </si>
  <si>
    <t>Result</t>
  </si>
  <si>
    <t>name,description</t>
  </si>
  <si>
    <t>TestM, TestM Desc</t>
  </si>
  <si>
    <t>Command</t>
  </si>
  <si>
    <t>Values</t>
  </si>
  <si>
    <t>OperatorOverride</t>
  </si>
  <si>
    <t>Network Devices / objects</t>
  </si>
  <si>
    <t>Levels</t>
  </si>
  <si>
    <t>name,description,presentValue</t>
  </si>
  <si>
    <t>Win2016-VM2:vNAE2343992/Field Bus MSTP1.FD-4</t>
  </si>
  <si>
    <t>Win2016-VM2:vNAE2343701/Field Bus MSTP1</t>
  </si>
  <si>
    <t>Win2016-VM2:vNAE2343991/Field Bus MSTP1</t>
  </si>
  <si>
    <t>Win2016-VM2:vNAE2343993/Field Bus MSTP1</t>
  </si>
  <si>
    <t>Win2016-VM2:vNAE2343992/Field Bus MSTP1</t>
  </si>
  <si>
    <t>Win2016-VM2:vNAE2343701/Field Bus MSTP1.VAV-08</t>
  </si>
  <si>
    <t>Win2016-VM2:vNAE2343996/Field Bus MSTP1.VAV-08</t>
  </si>
  <si>
    <t>Win2016-VM2:vNAE2343987/Field Bus MSTP1.VAV-08</t>
  </si>
  <si>
    <t>Win2016-VM2:vNAE2343701/Field Bus MSTP1.VAV-09</t>
  </si>
  <si>
    <t>Win2016-VM2:vNAE2343996/Field Bus MSTP1.VAV-09</t>
  </si>
  <si>
    <t>Win2016-VM2:vNAE2343987/Field Bus MSTP1.VAV-09</t>
  </si>
  <si>
    <t>Win2016-VM2:vNAE2343989/Field Bus MSTP1.VAV-09</t>
  </si>
  <si>
    <t>Win2016-VM2:vNAE2343988/Field Bus MSTP1.VAV-09</t>
  </si>
  <si>
    <t>Win2016-VM2:vNAE2343990/Field Bus MSTP1.VAV-09</t>
  </si>
  <si>
    <t>Win2016-VM2:vNAE2343993/Field Bus MSTP1.VAV-09</t>
  </si>
  <si>
    <t>Win2016-VM2:vNAE2343701/Field Bus MSTP1.VAV-10</t>
  </si>
  <si>
    <t>Win2016-VM2:vNAE2343991/Field Bus MSTP1.VAV-10</t>
  </si>
  <si>
    <t>Win2016-VM2:vNAE2343996/Field Bus MSTP1.VAV-11</t>
  </si>
  <si>
    <t>Win2016-VM2:vNAE2343987/Field Bus MSTP1.VAV-11</t>
  </si>
  <si>
    <t>Win2016-VM2:vNAE2343989/Field Bus MSTP1.VAV-11</t>
  </si>
  <si>
    <t>Win2016-VM2:vNAE2343988/Field Bus MSTP1.VAV-11</t>
  </si>
  <si>
    <t>Win2016-VM2:vNAE2343990/Field Bus MSTP1.VAV-11</t>
  </si>
  <si>
    <t>Win2016-VM2:vNAE2343993/Field Bus MSTP1.VAV-11</t>
  </si>
  <si>
    <t>Win2016-VM2:vNAE2343701/Field Bus MSTP1.VAV-12</t>
  </si>
  <si>
    <t>Win2016-VM2:vNAE2343991/Field Bus MSTP1.VAV-12</t>
  </si>
  <si>
    <t>Win2016-VM2:vNAE2343701/Field Bus MSTP1.VAV-13</t>
  </si>
  <si>
    <t>Win2016-VM2:vNAE2343996/Field Bus MSTP1.VAV-13</t>
  </si>
  <si>
    <t>Win2016-VM2:vNAE2343987/Field Bus MSTP1.VAV-13</t>
  </si>
  <si>
    <t>Win2016-VM2:vNAE2343989/Field Bus MSTP1.VAV-13</t>
  </si>
  <si>
    <t>Win2016-VM2:vNAE2343988/Field Bus MSTP1.VAV-13</t>
  </si>
  <si>
    <t>Win2016-VM2:vNAE2343990/Field Bus MSTP1.VAV-13</t>
  </si>
  <si>
    <t>Win2016-VM2:vNAE2343993/Field Bus MSTP1.VAV-13</t>
  </si>
  <si>
    <t>Win2016-VM2:vNAE2343701/Field Bus MSTP1.VAV-15</t>
  </si>
  <si>
    <t>Win2016-VM2:vNAE2343996/Field Bus MSTP1.VAV-15</t>
  </si>
  <si>
    <t>Win2016-VM2:vNAE2343987/Field Bus MSTP1.VAV-15</t>
  </si>
  <si>
    <t>Win2016-VM2:vNAE2343989/Field Bus MSTP1.VAV-15</t>
  </si>
  <si>
    <t>Win2016-VM2:vNAE2343988/Field Bus MSTP1.VAV-15</t>
  </si>
  <si>
    <t>Win2016-VM2:vNAE2343990/Field Bus MSTP1.VAV-15</t>
  </si>
  <si>
    <t>Win2016-VM2:vNAE2343991/Field Bus MSTP1.VAV-15</t>
  </si>
  <si>
    <t>Win2016-VM2:vNAE2343993/Field Bus MSTP1.VAV-15</t>
  </si>
  <si>
    <t>Win2016-VM2:vNAE2343996/Field Bus MSTP1.VAV-16</t>
  </si>
  <si>
    <t>Win2016-VM2:vNAE2343987/Field Bus MSTP1.VAV-16</t>
  </si>
  <si>
    <t>Win2016-VM2:vNAE2343701/Field Bus MSTP1.VAV-17</t>
  </si>
  <si>
    <t>Win2016-VM2:vNAE2343990/Field Bus MSTP1.VAV-17</t>
  </si>
  <si>
    <t>Win2016-VM2:vNAE2343991/Field Bus MSTP1.VAV-17</t>
  </si>
  <si>
    <t>Win2016-VM2:vNAE2343993/Field Bus MSTP1.VAV-17</t>
  </si>
  <si>
    <t>Win2016-VM2:vNAE2343701/Field Bus MSTP1.VAV-18</t>
  </si>
  <si>
    <t>Win2016-VM2:vNAE2343996/Field Bus MSTP1.VAV-18</t>
  </si>
  <si>
    <t>Win2016-VM2:vNAE2343987/Field Bus MSTP1.VAV-18</t>
  </si>
  <si>
    <t>Win2016-VM2:vNAE2343989/Field Bus MSTP1.VAV-18</t>
  </si>
  <si>
    <t>Win2016-VM2:vNAE2343988/Field Bus MSTP1.VAV-18</t>
  </si>
  <si>
    <t>Win2016-VM2:vNAE2343990/Field Bus MSTP1.VAV-18</t>
  </si>
  <si>
    <t>Win2016-VM2:vNAE2343993/Field Bus MSTP1.VAV-18</t>
  </si>
  <si>
    <t>Win2016-VM2:vNAE2343701/Field Bus MSTP1.VAV-20</t>
  </si>
  <si>
    <t>Win2016-VM2:vNAE2343989/Field Bus MSTP1.VAV-20</t>
  </si>
  <si>
    <t>Win2016-VM2:vNAE2343988/Field Bus MSTP1.VAV-20</t>
  </si>
  <si>
    <t>Win2016-VM2:vNAE2343990/Field Bus MSTP1.VAV-20</t>
  </si>
  <si>
    <t>Win2016-VM2:vNAE2343991/Field Bus MSTP1.VAV-20</t>
  </si>
  <si>
    <t>Win2016-VM2:vNAE2343993/Field Bus MSTP1.VAV-20</t>
  </si>
  <si>
    <t>Win2016-VM2:vNAE2343996/Field Bus MSTP1.VAV-21</t>
  </si>
  <si>
    <t>Win2016-VM2:vNAE2343987/Field Bus MSTP1.VAV-21</t>
  </si>
  <si>
    <t>Win2016-VM2:vNAE2343989/Field Bus MSTP1.VAV-21</t>
  </si>
  <si>
    <t>Win2016-VM2:vNAE2343988/Field Bus MSTP1.VAV-21</t>
  </si>
  <si>
    <t>Win2016-VM2:vNAE2343990/Field Bus MSTP1.VAV-21</t>
  </si>
  <si>
    <t>Win2016-VM2:vNAE2343993/Field Bus MSTP1.VAV-21</t>
  </si>
  <si>
    <t>Win2016-VM2:vNAE2343701/Field Bus MSTP1.VAV-23</t>
  </si>
  <si>
    <t>Win2016-VM2:vNAE2343989/Field Bus MSTP1.VAV-23</t>
  </si>
  <si>
    <t>Win2016-VM2:vNAE2343988/Field Bus MSTP1.VAV-23</t>
  </si>
  <si>
    <t>Win2016-VM2:vNAE2343990/Field Bus MSTP1.VAV-23</t>
  </si>
  <si>
    <t>Win2016-VM2:vNAE2343991/Field Bus MSTP1.VAV-23</t>
  </si>
  <si>
    <t>Win2016-VM2:vNAE2343993/Field Bus MSTP1.VAV-23</t>
  </si>
  <si>
    <t>Win2016-VM2:vNAE2343701/Field Bus MSTP1.VAV-24</t>
  </si>
  <si>
    <t>Win2016-VM2:vNAE2343996/Field Bus MSTP1.VAV-24</t>
  </si>
  <si>
    <t>Win2016-VM2:vNAE2343987/Field Bus MSTP1.VAV-24</t>
  </si>
  <si>
    <t>Win2016-VM2:vNAE2343989/Field Bus MSTP1.VAV-24</t>
  </si>
  <si>
    <t>Win2016-VM2:vNAE2343988/Field Bus MSTP1.VAV-24</t>
  </si>
  <si>
    <t>Win2016-VM2:vNAE2343990/Field Bus MSTP1.VAV-24</t>
  </si>
  <si>
    <t>Win2016-VM2:vNAE2343993/Field Bus MSTP1.VAV-24</t>
  </si>
  <si>
    <t>Win2016-VM2:vNAE2343701/Field Bus MSTP1.VAV-26</t>
  </si>
  <si>
    <t>Win2016-VM2:vNAE2343990/Field Bus MSTP1.VAV-26</t>
  </si>
  <si>
    <t>Win2016-VM2:vNAE2343991/Field Bus MSTP1.VAV-26</t>
  </si>
  <si>
    <t>Win2016-VM2:vNAE2343993/Field Bus MSTP1.VAV-26</t>
  </si>
  <si>
    <t>Win2016-VM2:vNAE2343701/Field Bus MSTP1.VAV-27</t>
  </si>
  <si>
    <t>Win2016-VM2:vNAE2343996/Field Bus MSTP1.VAV-27</t>
  </si>
  <si>
    <t>Win2016-VM2:vNAE2343987/Field Bus MSTP1.VAV-27</t>
  </si>
  <si>
    <t>Win2016-VM2:vNAE2343989/Field Bus MSTP1.VAV-27</t>
  </si>
  <si>
    <t>Win2016-VM2:vNAE2343988/Field Bus MSTP1.VAV-27</t>
  </si>
  <si>
    <t>Win2016-VM2:vNAE2343990/Field Bus MSTP1.VAV-27</t>
  </si>
  <si>
    <t>Win2016-VM2:vNAE2343991/Field Bus MSTP1.VAV-27</t>
  </si>
  <si>
    <t>Win2016-VM2:vNAE2343993/Field Bus MSTP1.VAV-27</t>
  </si>
  <si>
    <t>Win2016-VM2:vNAE2343701/Field Bus MSTP1.VAV-28</t>
  </si>
  <si>
    <t>Win2016-VM2:vNAE2343996/Field Bus MSTP1.VAV-28</t>
  </si>
  <si>
    <t>Win2016-VM2:vNAE2343987/Field Bus MSTP1.VAV-28</t>
  </si>
  <si>
    <t>Win2016-VM2:vNAE2343989/Field Bus MSTP1.VAV-28</t>
  </si>
  <si>
    <t>Win2016-VM2:vNAE2343988/Field Bus MSTP1.VAV-28</t>
  </si>
  <si>
    <t>Win2016-VM2:vNAE2343990/Field Bus MSTP1.VAV-28</t>
  </si>
  <si>
    <t>Win2016-VM2:vNAE2343991/Field Bus MSTP1.VAV-28</t>
  </si>
  <si>
    <t>Win2016-VM2:vNAE2343993/Field Bus MSTP1.VAV-28</t>
  </si>
  <si>
    <t>Win2016-VM2:vNAE2343701/Field Bus MSTP1.VAV-29</t>
  </si>
  <si>
    <t>Win2016-VM2:vNAE2343996/Field Bus MSTP1.VAV-29</t>
  </si>
  <si>
    <t>Win2016-VM2:vNAE2343987/Field Bus MSTP1.VAV-29</t>
  </si>
  <si>
    <t>Win2016-VM2:vNAE2343989/Field Bus MSTP1.VAV-29</t>
  </si>
  <si>
    <t>Win2016-VM2:vNAE2343988/Field Bus MSTP1.VAV-29</t>
  </si>
  <si>
    <t>Win2016-VM2:vNAE2343990/Field Bus MSTP1.VAV-29</t>
  </si>
  <si>
    <t>Win2016-VM2:vNAE2343991/Field Bus MSTP1.VAV-29</t>
  </si>
  <si>
    <t>Win2016-VM2:vNAE2343993/Field Bus MSTP1.VAV-29</t>
  </si>
  <si>
    <t>Win2016-VM2:vNAE2343701/Field Bus MSTP1.VAV-30</t>
  </si>
  <si>
    <t>Win2016-VM2:vNAE2343996/Field Bus MSTP1.VAV-30</t>
  </si>
  <si>
    <t>Win2016-VM2:vNAE2343987/Field Bus MSTP1.VAV-30</t>
  </si>
  <si>
    <t>Win2016-VM2:vNAE2343989/Field Bus MSTP1.VAV-30</t>
  </si>
  <si>
    <t>Win2016-VM2:vNAE2343988/Field Bus MSTP1.VAV-30</t>
  </si>
  <si>
    <t>Win2016-VM2:vNAE2343990/Field Bus MSTP1.VAV-30</t>
  </si>
  <si>
    <t>Win2016-VM2:vNAE2343991/Field Bus MSTP1.VAV-30</t>
  </si>
  <si>
    <t>Win2016-VM2:vNAE2343993/Field Bus MSTP1.VAV-30</t>
  </si>
  <si>
    <t>Win2016-VM2:vNAE2343701/Field Bus MSTP1.VAV-31</t>
  </si>
  <si>
    <t>Win2016-VM2:vNAE2343996/Field Bus MSTP1.VAV-31</t>
  </si>
  <si>
    <t>Win2016-VM2:vNAE2343987/Field Bus MSTP1.VAV-31</t>
  </si>
  <si>
    <t>Win2016-VM2:vNAE2343989/Field Bus MSTP1.VAV-31</t>
  </si>
  <si>
    <t>Win2016-VM2:vNAE2343988/Field Bus MSTP1.VAV-31</t>
  </si>
  <si>
    <t>Win2016-VM2:vNAE2343990/Field Bus MSTP1.VAV-31</t>
  </si>
  <si>
    <t>Win2016-VM2:vNAE2343991/Field Bus MSTP1.VAV-31</t>
  </si>
  <si>
    <t>Win2016-VM2:vNAE2343993/Field Bus MSTP1.VAV-31</t>
  </si>
  <si>
    <t>Win2016-VM2:vNAE2343701/Field Bus MSTP1.VAV-32</t>
  </si>
  <si>
    <t>Win2016-VM2:vNAE2343996/Field Bus MSTP1.VAV-32</t>
  </si>
  <si>
    <t>Win2016-VM2:vNAE2343987/Field Bus MSTP1.VAV-32</t>
  </si>
  <si>
    <t>Win2016-VM2:vNAE2343989/Field Bus MSTP1.VAV-32</t>
  </si>
  <si>
    <t>Win2016-VM2:vNAE2343988/Field Bus MSTP1.VAV-32</t>
  </si>
  <si>
    <t>Win2016-VM2:vNAE2343990/Field Bus MSTP1.VAV-32</t>
  </si>
  <si>
    <t>Win2016-VM2:vNAE2343991/Field Bus MSTP1.VAV-32</t>
  </si>
  <si>
    <t>Win2016-VM2:vNAE2343993/Field Bus MSTP1.VAV-32</t>
  </si>
  <si>
    <t>Win2016-VM2:vNAE2343701/Field Bus MSTP1.VAV-33</t>
  </si>
  <si>
    <t>Win2016-VM2:vNAE2343996/Field Bus MSTP1.VAV-33</t>
  </si>
  <si>
    <t>Win2016-VM2:vNAE2343987/Field Bus MSTP1.VAV-33</t>
  </si>
  <si>
    <t>Win2016-VM2:vNAE2343989/Field Bus MSTP1.VAV-33</t>
  </si>
  <si>
    <t>Win2016-VM2:vNAE2343988/Field Bus MSTP1.VAV-33</t>
  </si>
  <si>
    <t>Win2016-VM2:vNAE2343990/Field Bus MSTP1.VAV-33</t>
  </si>
  <si>
    <t>Win2016-VM2:vNAE2343991/Field Bus MSTP1.VAV-33</t>
  </si>
  <si>
    <t>Win2016-VM2:vNAE2343993/Field Bus MSTP1.VAV-33</t>
  </si>
  <si>
    <t>Win2016-VM2:vNAE2343701/Field Bus MSTP1.VAV-34</t>
  </si>
  <si>
    <t>Win2016-VM2:vNAE2343996/Field Bus MSTP1.VAV-34</t>
  </si>
  <si>
    <t>Win2016-VM2:vNAE2343987/Field Bus MSTP1.VAV-34</t>
  </si>
  <si>
    <t>Win2016-VM2:vNAE2343989/Field Bus MSTP1.VAV-34</t>
  </si>
  <si>
    <t>Win2016-VM2:vNAE2343988/Field Bus MSTP1.VAV-34</t>
  </si>
  <si>
    <t>Win2016-VM2:vNAE2343990/Field Bus MSTP1.VAV-34</t>
  </si>
  <si>
    <t>Win2016-VM2:vNAE2343991/Field Bus MSTP1.VAV-34</t>
  </si>
  <si>
    <t>Win2016-VM2:vNAE2343993/Field Bus MSTP1.VAV-34</t>
  </si>
  <si>
    <t>Win2016-VM2:vNAE2343701/Field Bus MSTP1.VAV-35</t>
  </si>
  <si>
    <t>Win2016-VM2:vNAE2343996/Field Bus MSTP1.VAV-35</t>
  </si>
  <si>
    <t>Win2016-VM2:vNAE2343987/Field Bus MSTP1.VAV-35</t>
  </si>
  <si>
    <t>Win2016-VM2:vNAE2343989/Field Bus MSTP1.VAV-35</t>
  </si>
  <si>
    <t>Win2016-VM2:vNAE2343988/Field Bus MSTP1.VAV-35</t>
  </si>
  <si>
    <t>Win2016-VM2:vNAE2343990/Field Bus MSTP1.VAV-35</t>
  </si>
  <si>
    <t>Win2016-VM2:vNAE2343991/Field Bus MSTP1.VAV-35</t>
  </si>
  <si>
    <t>Win2016-VM2:vNAE2343993/Field Bus MSTP1.VAV-35</t>
  </si>
  <si>
    <t>Win2016-VM2:vNAE2343701/Field Bus MSTP1.VAV-36</t>
  </si>
  <si>
    <t>Win2016-VM2:vNAE2343996/Field Bus MSTP1.VAV-36</t>
  </si>
  <si>
    <t>Win2016-VM2:vNAE2343987/Field Bus MSTP1.VAV-36</t>
  </si>
  <si>
    <t>Win2016-VM2:vNAE2343989/Field Bus MSTP1.VAV-36</t>
  </si>
  <si>
    <t>Win2016-VM2:vNAE2343988/Field Bus MSTP1.VAV-36</t>
  </si>
  <si>
    <t>Win2016-VM2:vNAE2343990/Field Bus MSTP1.VAV-36</t>
  </si>
  <si>
    <t>Win2016-VM2:vNAE2343991/Field Bus MSTP1.VAV-36</t>
  </si>
  <si>
    <t>Win2016-VM2:vNAE2343993/Field Bus MSTP1.VAV-36</t>
  </si>
  <si>
    <t>Win2016-VM2:vNAE2343701/Field Bus MSTP1.VAV-37</t>
  </si>
  <si>
    <t>Win2016-VM2:vNAE2343996/Field Bus MSTP1.VAV-37</t>
  </si>
  <si>
    <t>Win2016-VM2:vNAE2343987/Field Bus MSTP1.VAV-37</t>
  </si>
  <si>
    <t>Win2016-VM2:vNAE2343989/Field Bus MSTP1.VAV-37</t>
  </si>
  <si>
    <t>Win2016-VM2:vNAE2343988/Field Bus MSTP1.VAV-37</t>
  </si>
  <si>
    <t>Win2016-VM2:vNAE2343990/Field Bus MSTP1.VAV-37</t>
  </si>
  <si>
    <t>Win2016-VM2:vNAE2343991/Field Bus MSTP1.VAV-37</t>
  </si>
  <si>
    <t>Win2016-VM2:vNAE2343993/Field Bus MSTP1.VAV-37</t>
  </si>
  <si>
    <t>Win2016-VM2:vNAE2343701/Field Bus MSTP1.VAV-38</t>
  </si>
  <si>
    <t>Win2016-VM2:vNAE2343996/Field Bus MSTP1.VAV-38</t>
  </si>
  <si>
    <t>Win2016-VM2:vNAE2343987/Field Bus MSTP1.VAV-38</t>
  </si>
  <si>
    <t>Win2016-VM2:vNAE2343989/Field Bus MSTP1.VAV-38</t>
  </si>
  <si>
    <t>Win2016-VM2:vNAE2343988/Field Bus MSTP1.VAV-38</t>
  </si>
  <si>
    <t>Win2016-VM2:vNAE2343990/Field Bus MSTP1.VAV-38</t>
  </si>
  <si>
    <t>Win2016-VM2:vNAE2343991/Field Bus MSTP1.VAV-38</t>
  </si>
  <si>
    <t>Win2016-VM2:vNAE2343993/Field Bus MSTP1.VAV-38</t>
  </si>
  <si>
    <t>Win2016-VM2:vNAE2343701/Field Bus MSTP1.VAV-39</t>
  </si>
  <si>
    <t>Win2016-VM2:vNAE2343996/Field Bus MSTP1.VAV-39</t>
  </si>
  <si>
    <t>Win2016-VM2:vNAE2343987/Field Bus MSTP1.VAV-39</t>
  </si>
  <si>
    <t>Win2016-VM2:vNAE2343989/Field Bus MSTP1.VAV-39</t>
  </si>
  <si>
    <t>Win2016-VM2:vNAE2343988/Field Bus MSTP1.VAV-39</t>
  </si>
  <si>
    <t>Win2016-VM2:vNAE2343990/Field Bus MSTP1.VAV-39</t>
  </si>
  <si>
    <t>Win2016-VM2:vNAE2343991/Field Bus MSTP1.VAV-39</t>
  </si>
  <si>
    <t>Win2016-VM2:vNAE2343993/Field Bus MSTP1.VAV-39</t>
  </si>
  <si>
    <t>Win2016-VM2:vNAE2343701/Field Bus MSTP1.VAV-40</t>
  </si>
  <si>
    <t>Win2016-VM2:vNAE2343996/Field Bus MSTP1.VAV-40</t>
  </si>
  <si>
    <t>Win2016-VM2:vNAE2343987/Field Bus MSTP1.VAV-40</t>
  </si>
  <si>
    <t>Win2016-VM2:vNAE2343989/Field Bus MSTP1.VAV-40</t>
  </si>
  <si>
    <t>Win2016-VM2:vNAE2343988/Field Bus MSTP1.VAV-40</t>
  </si>
  <si>
    <t>Win2016-VM2:vNAE2343990/Field Bus MSTP1.VAV-40</t>
  </si>
  <si>
    <t>Win2016-VM2:vNAE2343991/Field Bus MSTP1.VAV-40</t>
  </si>
  <si>
    <t>Win2016-VM2:vNAE2343993/Field Bus MSTP1.VAV-40</t>
  </si>
  <si>
    <t>Win2016-VM2:vNAE2343701/Field Bus MSTP1.VAV-41</t>
  </si>
  <si>
    <t>Win2016-VM2:vNAE2343996/Field Bus MSTP1.VAV-41</t>
  </si>
  <si>
    <t>Win2016-VM2:vNAE2343987/Field Bus MSTP1.VAV-41</t>
  </si>
  <si>
    <t>Win2016-VM2:vNAE2343989/Field Bus MSTP1.VAV-41</t>
  </si>
  <si>
    <t>Win2016-VM2:vNAE2343988/Field Bus MSTP1.VAV-41</t>
  </si>
  <si>
    <t>Win2016-VM2:vNAE2343990/Field Bus MSTP1.VAV-41</t>
  </si>
  <si>
    <t>Win2016-VM2:vNAE2343991/Field Bus MSTP1.VAV-41</t>
  </si>
  <si>
    <t>Win2016-VM2:vNAE2343993/Field Bus MSTP1.VAV-41</t>
  </si>
  <si>
    <t>Win2016-VM2:vNAE2343701/Field Bus MSTP1.VAV-42</t>
  </si>
  <si>
    <t>Win2016-VM2:vNAE2343996/Field Bus MSTP1.VAV-42</t>
  </si>
  <si>
    <t>Win2016-VM2:vNAE2343987/Field Bus MSTP1.VAV-42</t>
  </si>
  <si>
    <t>Win2016-VM2:vNAE2343989/Field Bus MSTP1.VAV-42</t>
  </si>
  <si>
    <t>Win2016-VM2:vNAE2343988/Field Bus MSTP1.VAV-42</t>
  </si>
  <si>
    <t>Win2016-VM2:vNAE2343990/Field Bus MSTP1.VAV-42</t>
  </si>
  <si>
    <t>Win2016-VM2:vNAE2343991/Field Bus MSTP1.VAV-42</t>
  </si>
  <si>
    <t>Win2016-VM2:vNAE2343993/Field Bus MSTP1.VAV-42</t>
  </si>
  <si>
    <t>Win2016-VM2:vNAE2343701/Field Bus MSTP1.VAV-43</t>
  </si>
  <si>
    <t>Win2016-VM2:vNAE2343996/Field Bus MSTP1.VAV-43</t>
  </si>
  <si>
    <t>Win2016-VM2:vNAE2343987/Field Bus MSTP1.VAV-43</t>
  </si>
  <si>
    <t>Win2016-VM2:vNAE2343989/Field Bus MSTP1.VAV-43</t>
  </si>
  <si>
    <t>Win2016-VM2:vNAE2343988/Field Bus MSTP1.VAV-43</t>
  </si>
  <si>
    <t>Win2016-VM2:vNAE2343990/Field Bus MSTP1.VAV-43</t>
  </si>
  <si>
    <t>Win2016-VM2:vNAE2343991/Field Bus MSTP1.VAV-43</t>
  </si>
  <si>
    <t>Win2016-VM2:vNAE2343993/Field Bus MSTP1.VAV-43</t>
  </si>
  <si>
    <t>Win2016-VM2:vNAE2343701/Field Bus MSTP1.VAV-44</t>
  </si>
  <si>
    <t>Win2016-VM2:vNAE2343996/Field Bus MSTP1.VAV-44</t>
  </si>
  <si>
    <t>Win2016-VM2:vNAE2343987/Field Bus MSTP1.VAV-44</t>
  </si>
  <si>
    <t>Win2016-VM2:vNAE2343989/Field Bus MSTP1.VAV-44</t>
  </si>
  <si>
    <t>Win2016-VM2:vNAE2343988/Field Bus MSTP1.VAV-44</t>
  </si>
  <si>
    <t>Win2016-VM2:vNAE2343990/Field Bus MSTP1.VAV-44</t>
  </si>
  <si>
    <t>Win2016-VM2:vNAE2343991/Field Bus MSTP1.VAV-44</t>
  </si>
  <si>
    <t>Win2016-VM2:vNAE2343993/Field Bus MSTP1.VAV-44</t>
  </si>
  <si>
    <t>Win2016-VM2:vNAE2343701</t>
  </si>
  <si>
    <t>Win2016-VM2:vNAE2343987</t>
  </si>
  <si>
    <t>Win2016-VM2:vNAE2343988</t>
  </si>
  <si>
    <t>Win2016-VM2:vNAE2343989</t>
  </si>
  <si>
    <t>Win2016-VM2:vNAE2343990</t>
  </si>
  <si>
    <t>Win2016-VM2:vNAE2343991</t>
  </si>
  <si>
    <t>Win2016-VM2:vNAE2343992</t>
  </si>
  <si>
    <t>Win2016-VM2:vNAE2343993</t>
  </si>
  <si>
    <t>Win2016-VM2:vNAE2343996</t>
  </si>
  <si>
    <t>Win2016-VM2:vNAE2343701/Field Bus MSTP1.VAV-08.HW-BO1</t>
  </si>
  <si>
    <t>Win2016-VM2:vNAE2343701/Field Bus MSTP1.VAV-08.OUTPUT-FLOAT</t>
  </si>
  <si>
    <t>Win2016-VM2:vNAE2343701/Field Bus MSTP1.VAV-08.SA-F</t>
  </si>
  <si>
    <t>Win2016-VM2:vNAE2343701/Field Bus MSTP1.VAV-08.SAFLOW-SP</t>
  </si>
  <si>
    <t>Win2016-VM2:vNAE2343701/Field Bus MSTP1.VAV-08.SUMMER WINTER</t>
  </si>
  <si>
    <t>Win2016-VM2:vNAE2343701/Field Bus MSTP1.VAV-08.HW-AI1</t>
  </si>
  <si>
    <t>Win2016-VM2:vNAE2343701/Field Bus MSTP1.VAV-08.UNITEN-MODE</t>
  </si>
  <si>
    <t>Win2016-VM2:vNAE2343701/Field Bus MSTP1.VAV-08.ZN-SP</t>
  </si>
  <si>
    <t>presentValue</t>
  </si>
  <si>
    <t>Test4</t>
  </si>
  <si>
    <t>Win2016-VM2:vNAE2343701/Field Bus MSTP1.VAV-08.HW-AI2.Trend1</t>
  </si>
  <si>
    <t>Samples</t>
  </si>
  <si>
    <t>Device ID</t>
  </si>
  <si>
    <t>Object ID</t>
  </si>
  <si>
    <t>Win2016-VM2:vNAE2343996/Field Bus MSTP1.CHLR-06</t>
  </si>
  <si>
    <t>Win2016-VM2:vNAE2343996/Field Bus MSTP1</t>
  </si>
  <si>
    <t>Win2016-VM2:vNAE2343987/Field Bus MSTP1</t>
  </si>
  <si>
    <t>Win2016-VM2:vNAE2343989/Field Bus MSTP1</t>
  </si>
  <si>
    <t>Win2016-VM2:vNAE2343988/Field Bus MSTP1</t>
  </si>
  <si>
    <t>Win2016-VM2:vNAE2343990/Field Bus MSTP1</t>
  </si>
  <si>
    <t>MUI-SRV04:vNAE2343959/Field Bus MSTP1</t>
  </si>
  <si>
    <t>Win2016-VM2:vNAE2343989/Field Bus MSTP1.VAV-08</t>
  </si>
  <si>
    <t>Win2016-VM2:vNAE2343988/Field Bus MSTP1.VAV-08</t>
  </si>
  <si>
    <t>Win2016-VM2:vNAE2343990/Field Bus MSTP1.VAV-08</t>
  </si>
  <si>
    <t>Win2016-VM2:vNAE2343993/Field Bus MSTP1.VAV-08</t>
  </si>
  <si>
    <t>Win2016-VM2:vNAE2343991/Field Bus MSTP1.VAV-08</t>
  </si>
  <si>
    <t>MUI-SRV04:vNAE2343959/Field Bus MSTP1.VAV-08</t>
  </si>
  <si>
    <t>Win2016-VM2:vNAE2343991/Field Bus MSTP1.VAV-09</t>
  </si>
  <si>
    <t>MUI-SRV04:vNAE2343959/Field Bus MSTP1.VAV-09</t>
  </si>
  <si>
    <t>Win2016-VM2:vNAE2343996/Field Bus MSTP1.VAV-10</t>
  </si>
  <si>
    <t>Win2016-VM2:vNAE2343987/Field Bus MSTP1.VAV-10</t>
  </si>
  <si>
    <t>Win2016-VM2:vNAE2343989/Field Bus MSTP1.VAV-10</t>
  </si>
  <si>
    <t>Win2016-VM2:vNAE2343988/Field Bus MSTP1.VAV-10</t>
  </si>
  <si>
    <t>Win2016-VM2:vNAE2343990/Field Bus MSTP1.VAV-10</t>
  </si>
  <si>
    <t>Win2016-VM2:vNAE2343993/Field Bus MSTP1.VAV-10</t>
  </si>
  <si>
    <t>MUI-SRV04:vNAE2343959/Field Bus MSTP1.VAV-10</t>
  </si>
  <si>
    <t>Win2016-VM2:vNAE2343701/Field Bus MSTP1.VAV-11</t>
  </si>
  <si>
    <t>Win2016-VM2:vNAE2343991/Field Bus MSTP1.VAV-11</t>
  </si>
  <si>
    <t>MUI-SRV04:vNAE2343959/Field Bus MSTP1.VAV-11</t>
  </si>
  <si>
    <t>Win2016-VM2:vNAE2343996/Field Bus MSTP1.VAV-12</t>
  </si>
  <si>
    <t>Win2016-VM2:vNAE2343987/Field Bus MSTP1.VAV-12</t>
  </si>
  <si>
    <t>Win2016-VM2:vNAE2343989/Field Bus MSTP1.VAV-12</t>
  </si>
  <si>
    <t>Win2016-VM2:vNAE2343988/Field Bus MSTP1.VAV-12</t>
  </si>
  <si>
    <t>Win2016-VM2:vNAE2343990/Field Bus MSTP1.VAV-12</t>
  </si>
  <si>
    <t>Win2016-VM2:vNAE2343993/Field Bus MSTP1.VAV-12</t>
  </si>
  <si>
    <t>MUI-SRV04:vNAE2343959/Field Bus MSTP1.VAV-12</t>
  </si>
  <si>
    <t>Win2016-VM2:vNAE2343991/Field Bus MSTP1.VAV-13</t>
  </si>
  <si>
    <t>MUI-SRV04:vNAE2343959/Field Bus MSTP1.VAV-13</t>
  </si>
  <si>
    <t>Win2016-VM2:vNAE2343996/Field Bus MSTP1.VAV-14</t>
  </si>
  <si>
    <t>Win2016-VM2:vNAE2343987/Field Bus MSTP1.VAV-14</t>
  </si>
  <si>
    <t>Win2016-VM2:vNAE2343989/Field Bus MSTP1.VAV-14</t>
  </si>
  <si>
    <t>Win2016-VM2:vNAE2343988/Field Bus MSTP1.VAV-14</t>
  </si>
  <si>
    <t>Win2016-VM2:vNAE2343990/Field Bus MSTP1.VAV-14</t>
  </si>
  <si>
    <t>Win2016-VM2:vNAE2343993/Field Bus MSTP1.VAV-14</t>
  </si>
  <si>
    <t>Win2016-VM2:vNAE2343701/Field Bus MSTP1.VAV-14</t>
  </si>
  <si>
    <t>Win2016-VM2:vNAE2343991/Field Bus MSTP1.VAV-14</t>
  </si>
  <si>
    <t>MUI-SRV04:vNAE2343959/Field Bus MSTP1.VAV-14</t>
  </si>
  <si>
    <t>MUI-SRV04:vNAE2343959/Field Bus MSTP1.VAV-15</t>
  </si>
  <si>
    <t>Win2016-VM2:vNAE2343989/Field Bus MSTP1.VAV-16</t>
  </si>
  <si>
    <t>Win2016-VM2:vNAE2343988/Field Bus MSTP1.VAV-16</t>
  </si>
  <si>
    <t>Win2016-VM2:vNAE2343990/Field Bus MSTP1.VAV-16</t>
  </si>
  <si>
    <t>Win2016-VM2:vNAE2343993/Field Bus MSTP1.VAV-16</t>
  </si>
  <si>
    <t>Win2016-VM2:vNAE2343701/Field Bus MSTP1.VAV-16</t>
  </si>
  <si>
    <t>Win2016-VM2:vNAE2343991/Field Bus MSTP1.VAV-16</t>
  </si>
  <si>
    <t>MUI-SRV04:vNAE2343959/Field Bus MSTP1.VAV-16</t>
  </si>
  <si>
    <t>Win2016-VM2:vNAE2343996/Field Bus MSTP1.VAV-17</t>
  </si>
  <si>
    <t>Win2016-VM2:vNAE2343987/Field Bus MSTP1.VAV-17</t>
  </si>
  <si>
    <t>Win2016-VM2:vNAE2343989/Field Bus MSTP1.VAV-17</t>
  </si>
  <si>
    <t>Win2016-VM2:vNAE2343988/Field Bus MSTP1.VAV-17</t>
  </si>
  <si>
    <t>MUI-SRV04:vNAE2343959/Field Bus MSTP1.VAV-17</t>
  </si>
  <si>
    <t>Win2016-VM2:vNAE2343991/Field Bus MSTP1.VAV-18</t>
  </si>
  <si>
    <t>MUI-SRV04:vNAE2343959/Field Bus MSTP1.VAV-18</t>
  </si>
  <si>
    <t>Win2016-VM2:vNAE2343996/Field Bus MSTP1.VAV-19</t>
  </si>
  <si>
    <t>Win2016-VM2:vNAE2343987/Field Bus MSTP1.VAV-19</t>
  </si>
  <si>
    <t>Win2016-VM2:vNAE2343989/Field Bus MSTP1.VAV-19</t>
  </si>
  <si>
    <t>Win2016-VM2:vNAE2343988/Field Bus MSTP1.VAV-19</t>
  </si>
  <si>
    <t>Win2016-VM2:vNAE2343990/Field Bus MSTP1.VAV-19</t>
  </si>
  <si>
    <t>Win2016-VM2:vNAE2343993/Field Bus MSTP1.VAV-19</t>
  </si>
  <si>
    <t>Win2016-VM2:vNAE2343701/Field Bus MSTP1.VAV-19</t>
  </si>
  <si>
    <t>Win2016-VM2:vNAE2343991/Field Bus MSTP1.VAV-19</t>
  </si>
  <si>
    <t>MUI-SRV04:vNAE2343959/Field Bus MSTP1.VAV-19</t>
  </si>
  <si>
    <t>Win2016-VM2:vNAE2343996/Field Bus MSTP1.VAV-20</t>
  </si>
  <si>
    <t>Win2016-VM2:vNAE2343987/Field Bus MSTP1.VAV-20</t>
  </si>
  <si>
    <t>MUI-SRV04:vNAE2343959/Field Bus MSTP1.VAV-20</t>
  </si>
  <si>
    <t>Win2016-VM2:vNAE2343701/Field Bus MSTP1.VAV-21</t>
  </si>
  <si>
    <t>Win2016-VM2:vNAE2343991/Field Bus MSTP1.VAV-21</t>
  </si>
  <si>
    <t>MUI-SRV04:vNAE2343959/Field Bus MSTP1.VAV-21</t>
  </si>
  <si>
    <t>Win2016-VM2:vNAE2343996/Field Bus MSTP1.VAV-22</t>
  </si>
  <si>
    <t>Win2016-VM2:vNAE2343987/Field Bus MSTP1.VAV-22</t>
  </si>
  <si>
    <t>Win2016-VM2:vNAE2343989/Field Bus MSTP1.VAV-22</t>
  </si>
  <si>
    <t>Win2016-VM2:vNAE2343988/Field Bus MSTP1.VAV-22</t>
  </si>
  <si>
    <t>Win2016-VM2:vNAE2343990/Field Bus MSTP1.VAV-22</t>
  </si>
  <si>
    <t>Win2016-VM2:vNAE2343993/Field Bus MSTP1.VAV-22</t>
  </si>
  <si>
    <t>Win2016-VM2:vNAE2343701/Field Bus MSTP1.VAV-22</t>
  </si>
  <si>
    <t>Win2016-VM2:vNAE2343991/Field Bus MSTP1.VAV-22</t>
  </si>
  <si>
    <t>MUI-SRV04:vNAE2343959/Field Bus MSTP1.VAV-22</t>
  </si>
  <si>
    <t>Win2016-VM2:vNAE2343996/Field Bus MSTP1.VAV-23</t>
  </si>
  <si>
    <t>Win2016-VM2:vNAE2343987/Field Bus MSTP1.VAV-23</t>
  </si>
  <si>
    <t>MUI-SRV04:vNAE2343959/Field Bus MSTP1.VAV-23</t>
  </si>
  <si>
    <t>Win2016-VM2:vNAE2343991/Field Bus MSTP1.VAV-24</t>
  </si>
  <si>
    <t>MUI-SRV04:vNAE2343959/Field Bus MSTP1.VAV-24</t>
  </si>
  <si>
    <t>Win2016-VM2:vNAE2343996/Field Bus MSTP1.VAV-25</t>
  </si>
  <si>
    <t>Win2016-VM2:vNAE2343987/Field Bus MSTP1.VAV-25</t>
  </si>
  <si>
    <t>Win2016-VM2:vNAE2343989/Field Bus MSTP1.VAV-25</t>
  </si>
  <si>
    <t>Win2016-VM2:vNAE2343988/Field Bus MSTP1.VAV-25</t>
  </si>
  <si>
    <t>Win2016-VM2:vNAE2343990/Field Bus MSTP1.VAV-25</t>
  </si>
  <si>
    <t>Win2016-VM2:vNAE2343993/Field Bus MSTP1.VAV-25</t>
  </si>
  <si>
    <t>Win2016-VM2:vNAE2343701/Field Bus MSTP1.VAV-25</t>
  </si>
  <si>
    <t>Win2016-VM2:vNAE2343991/Field Bus MSTP1.VAV-25</t>
  </si>
  <si>
    <t>MUI-SRV04:vNAE2343959/Field Bus MSTP1.VAV-25</t>
  </si>
  <si>
    <t>Win2016-VM2:vNAE2343996/Field Bus MSTP1.VAV-26</t>
  </si>
  <si>
    <t>Win2016-VM2:vNAE2343987/Field Bus MSTP1.VAV-26</t>
  </si>
  <si>
    <t>Win2016-VM2:vNAE2343989/Field Bus MSTP1.VAV-26</t>
  </si>
  <si>
    <t>Win2016-VM2:vNAE2343988/Field Bus MSTP1.VAV-26</t>
  </si>
  <si>
    <t>MUI-SRV04:vNAE2343959/Field Bus MSTP1.VAV-26</t>
  </si>
  <si>
    <t>MUI-SRV04:vNAE2343959/Field Bus MSTP1.VAV-27</t>
  </si>
  <si>
    <t>MUI-SRV04:vNAE2343959/Field Bus MSTP1.VAV-28</t>
  </si>
  <si>
    <t>MUI-SRV04:vNAE2343959/Field Bus MSTP1.VAV-29</t>
  </si>
  <si>
    <t>MUI-SRV04:vNAE2343959/Field Bus MSTP1.VAV-30</t>
  </si>
  <si>
    <t>MUI-SRV04:vNAE2343959/Field Bus MSTP1.VAV-31</t>
  </si>
  <si>
    <t>MUI-SRV04:vNAE2343959/Field Bus MSTP1.VAV-32</t>
  </si>
  <si>
    <t>MUI-SRV04:vNAE2343959/Field Bus MSTP1.VAV-33</t>
  </si>
  <si>
    <t>MUI-SRV04:vNAE2343959/Field Bus MSTP1.VAV-34</t>
  </si>
  <si>
    <t>MUI-SRV04:vNAE2343959/Field Bus MSTP1.VAV-35</t>
  </si>
  <si>
    <t>MUI-SRV04:vNAE2343959/Field Bus MSTP1.VAV-36</t>
  </si>
  <si>
    <t>MUI-SRV04:vNAE2343959/Field Bus MSTP1.VAV-37</t>
  </si>
  <si>
    <t>MUI-SRV04:vNAE2343959/Field Bus MSTP1.VAV-38</t>
  </si>
  <si>
    <t>MUI-SRV04:vNAE2343959/Field Bus MSTP1.VAV-39</t>
  </si>
  <si>
    <t>MUI-SRV04:vNAE2343959/Field Bus MSTP1.VAV-40</t>
  </si>
  <si>
    <t>MUI-SRV04:vNAE2343959/Field Bus MSTP1.VAV-41</t>
  </si>
  <si>
    <t>MUI-SRV04:vNAE2343959/Field Bus MSTP1.VAV-42</t>
  </si>
  <si>
    <t>MUI-SRV04:vNAE2343959/Field Bus MSTP1.VAV-43</t>
  </si>
  <si>
    <t>MUI-SRV04:vNAE2343959/Field Bus MSTP1.VAV44</t>
  </si>
  <si>
    <t>MUI-SRV04:vNAE2343959</t>
  </si>
  <si>
    <t>Spaces</t>
  </si>
  <si>
    <t>Equipment</t>
  </si>
  <si>
    <t>AHU-07</t>
  </si>
  <si>
    <t>BLR-05</t>
  </si>
  <si>
    <t>CHLR-06</t>
  </si>
  <si>
    <t>Metasys Objects</t>
  </si>
  <si>
    <t>VAV-08</t>
  </si>
  <si>
    <t>VAV-09</t>
  </si>
  <si>
    <t>VAV-10</t>
  </si>
  <si>
    <t>VAV-11</t>
  </si>
  <si>
    <t>VAV-12</t>
  </si>
  <si>
    <t>VAV-13</t>
  </si>
  <si>
    <t>VAV-14</t>
  </si>
  <si>
    <t>VAV-15</t>
  </si>
  <si>
    <t>VAV-16</t>
  </si>
  <si>
    <t>VAV-17</t>
  </si>
  <si>
    <t>VAV-18</t>
  </si>
  <si>
    <t>VAV-19</t>
  </si>
  <si>
    <t>VAV-20</t>
  </si>
  <si>
    <t>VAV-21</t>
  </si>
  <si>
    <t>VAV-22</t>
  </si>
  <si>
    <t>VAV-23</t>
  </si>
  <si>
    <t>VAV-24</t>
  </si>
  <si>
    <t>VAV-25</t>
  </si>
  <si>
    <t>VAV-26</t>
  </si>
  <si>
    <t>VAV-27</t>
  </si>
  <si>
    <t>VAV-28</t>
  </si>
  <si>
    <t>VAV-29</t>
  </si>
  <si>
    <t>VAV-30</t>
  </si>
  <si>
    <t>VAV-31</t>
  </si>
  <si>
    <t>VAV-32</t>
  </si>
  <si>
    <t>VAV-33</t>
  </si>
  <si>
    <t>VAV-34</t>
  </si>
  <si>
    <t>VAV-35</t>
  </si>
  <si>
    <t>VAV-36</t>
  </si>
  <si>
    <t>VAV-37</t>
  </si>
  <si>
    <t>VAV-38</t>
  </si>
  <si>
    <t>VAV-39</t>
  </si>
  <si>
    <t>VAV-40</t>
  </si>
  <si>
    <t>VAV-41</t>
  </si>
  <si>
    <t>VAV-42</t>
  </si>
  <si>
    <t>VAV-43</t>
  </si>
  <si>
    <t>Building 2</t>
  </si>
  <si>
    <t>Cubes</t>
  </si>
  <si>
    <t>Electrical Room</t>
  </si>
  <si>
    <t>Europe (N2)</t>
  </si>
  <si>
    <t>Floor 1</t>
  </si>
  <si>
    <t>France</t>
  </si>
  <si>
    <t>Germany</t>
  </si>
  <si>
    <t>Johnson Controls</t>
  </si>
  <si>
    <t>Maintenance Area</t>
  </si>
  <si>
    <t>Mechanical Room</t>
  </si>
  <si>
    <t>Milwaukee</t>
  </si>
  <si>
    <t>North America (BACnet)</t>
  </si>
  <si>
    <t>Office 1</t>
  </si>
  <si>
    <t>Office Area</t>
  </si>
  <si>
    <t>Room 1</t>
  </si>
  <si>
    <t>Room 2</t>
  </si>
  <si>
    <t>Room 3</t>
  </si>
  <si>
    <t>Room 4</t>
  </si>
  <si>
    <t>Room 5</t>
  </si>
  <si>
    <t>Spain</t>
  </si>
  <si>
    <t>DA-T: 55</t>
  </si>
  <si>
    <t>DPR-O: 0</t>
  </si>
  <si>
    <t>HTG-O: 0</t>
  </si>
  <si>
    <t>OCC-SCHEDULE: NonOccupato</t>
  </si>
  <si>
    <t>SA-F: 0</t>
  </si>
  <si>
    <t>SAFLOW-SP: 0</t>
  </si>
  <si>
    <t>UNITEN-MODE: Abilitato</t>
  </si>
  <si>
    <t>ZN-SP: 72</t>
  </si>
  <si>
    <t>Equipment Points</t>
  </si>
  <si>
    <t xml:space="preserve">Space Equipment </t>
  </si>
  <si>
    <t>Space Types</t>
  </si>
  <si>
    <t>Building</t>
  </si>
  <si>
    <t>Floor</t>
  </si>
  <si>
    <t>Generic</t>
  </si>
  <si>
    <t>Room</t>
  </si>
  <si>
    <t>Localize</t>
  </si>
  <si>
    <t>Culture Info</t>
  </si>
  <si>
    <t>Resource</t>
  </si>
  <si>
    <t>Translation</t>
  </si>
  <si>
    <t>reliabilityEnumSet.reliable</t>
  </si>
  <si>
    <t>it-IT</t>
  </si>
  <si>
    <t>Get Command Enumeration</t>
  </si>
  <si>
    <t>Execute</t>
  </si>
  <si>
    <t>Get Object Type Enumeration</t>
  </si>
  <si>
    <t>AI</t>
  </si>
  <si>
    <t>Alarm ID</t>
  </si>
  <si>
    <t>Get Alarm Annotations</t>
  </si>
  <si>
    <t>Get Alarms for  a Network Device</t>
  </si>
  <si>
    <t>Get Alarms for an object</t>
  </si>
  <si>
    <t>Get Alarms</t>
  </si>
  <si>
    <t>Get Audits</t>
  </si>
  <si>
    <t>Audit ID</t>
  </si>
  <si>
    <t>Get Audit Annotations</t>
  </si>
  <si>
    <t>WIN-21DJ9JV9QH6:EECMI-NCE25-2/FCB.10FEC11 - V6 Unit.E4 Network Outdoor Temperature</t>
  </si>
  <si>
    <t>WIN-21DJ9JV9QH6:EECMI-NCE25-2/FCB.10FEC11 - V6 Unit.V5 Network Outdoor Temperature</t>
  </si>
  <si>
    <t>WIN-21DJ9JV9QH6:EECMI-NCE25-2/FCB.10FEC11 - V6 Unit.V5 Network Outdoor Temperature, WIN-21DJ9JV9QH6:EECMI-NCE25-2/FCB.10FEC11 - V6 Unit.V9 Network Outdoor Temperature, WIN-21DJ9JV9QH6:EECMI-NCE25-2/FCB.10FEC11 - V6 Unit.E4 Network Outdoor Temperature</t>
  </si>
  <si>
    <t>WIN-21DJ9JV9QH6:EECMI-NCE25-2/FCB.10FEC11 - V6 Unit.E4 Network Outdoor Temperature,WIN-21DJ9JV9QH6:EECMI-NCE25-2/FCB.10FEC11 - V6 Unit.V9 Network Outdoor Temperature, WIN-21DJ9JV9QH6:EECMI-NCE25-2/FCB.10FEC11 - V6 Unit.E4 Network Outdoor Temperature</t>
  </si>
  <si>
    <t>WIN-21DJ9JV9QH6:EECMI-NCE25-2/FCB.10FEC11 - V6 Unit.TW Temperature from MTU</t>
  </si>
  <si>
    <t xml:space="preserve">WIN-21DJ9JV9QH6:EECMI-NCE25-2/FCB
</t>
  </si>
  <si>
    <t>WIN-21DJ9JV9QH6:EECMI-NCE25-2/FCB.10FEC11 - V6 Unit</t>
  </si>
  <si>
    <t>WIN-21DJ9JV9QH6:EECMI-NCE25-2/FCB.10FEC11 - V6 Unit.V6 Unit -  Freeze Thermostat Amm.Alarm1</t>
  </si>
  <si>
    <t>WIN-21DJ9JV9QH6:EECMI-NCE25-2/FCB.Local Application</t>
  </si>
  <si>
    <t>WIN-21DJ9JV9QH6:EECMI-NCE25-2/FCB.10FEC11 - V6 Unit.V9 Network Outdoor Temperature</t>
  </si>
  <si>
    <t>WIN-21DJ9JV9QH6:EECMI-NCE25-2/FCB.10FEC11 - V6 Unit.E4 Network Outdoor Temperature.Trend1</t>
  </si>
  <si>
    <t>WIN-21DJ9JV9QH6:EECMI-NCE25-2/FCB.10FEC11 - V6 Unit.TW Alarm Setpoint</t>
  </si>
  <si>
    <t>WIN-21DJ9JV9QH6:EECMI-NCE25-2/FCB.10FEC11 - V6 Unit.TW Differential</t>
  </si>
  <si>
    <t>WIN-21DJ9JV9QH6:EECMI-NCE25-2/FCB.10FEC11 - V6 Unit.V6 - Unit TL Bypass</t>
  </si>
  <si>
    <t>WIN-21DJ9JV9QH6:EECMI-NCE25-2/FCB.10FEC11 - V6 Unit.V6 Supply Temperature  Setpoint</t>
  </si>
  <si>
    <t>WIN-21DJ9JV9QH6:EECMI-NCE25-2/FCB.10FEC11 - V6 Unit.V6 Unit -  Damper Close VAV1</t>
  </si>
  <si>
    <t>WIN-21DJ9JV9QH6:EECMI-NCE25-2/FCB.10FEC11 - V6 Unit.V6 Unit -  Damper Open VAV1</t>
  </si>
  <si>
    <t>WIN-21DJ9JV9QH6:EECMI-NCE25-2/FCB.10FEC11 - V6 Unit.V6 Unit -  Divers Store Valve</t>
  </si>
  <si>
    <t>WIN-21DJ9JV9QH6:EECMI-NCE25-2/FCB.10FEC11 - V6 Unit.V6 Unit -  Enable</t>
  </si>
  <si>
    <t>WIN-21DJ9JV9QH6:EECMI-NCE25-2/FCB.10FEC11 - V6 Unit.V6 Unit -  Fan Delay Start</t>
  </si>
  <si>
    <t>WIN-21DJ9JV9QH6:EECMI-NCE25-2/FCB.10FEC11 - V6 Unit.V6 Unit -  Freeze Thermostat Di</t>
  </si>
  <si>
    <t>WIN-21DJ9JV9QH6:EECMI-NCE25-2/FCB.10FEC11 - V6 Unit.V6 Unit -  Freeze Thermostat Amm</t>
  </si>
  <si>
    <t>WIN-21DJ9JV9QH6:EECMI-NCE25-2/FCB.10FEC11 - V6 Unit.V6 Unit -  Freeze Thermostat RO</t>
  </si>
  <si>
    <t>WIN-21DJ9JV9QH6:EECMI-NCE25-2/FCB.10FEC11 - V6 Unit.V6 Unit -  Low Limit Outdoor Te</t>
  </si>
  <si>
    <t>WIN-21DJ9JV9QH6:EECMI-NCE25-2/FCB.10FEC11 - V6 Unit.V6 Unit -  Rov Ammunition Setpo</t>
  </si>
  <si>
    <t>WIN-21DJ9JV9QH6:EECMI-NCE25-2/FCB.10FEC11 - V6 Unit.V6 Unit -  Rov Charges Store Se</t>
  </si>
  <si>
    <t>WIN-21DJ9JV9QH6:EECMI-NCE25-2/FCB.10FEC11 - V6 Unit.V6 Unit -  Running</t>
  </si>
  <si>
    <t>WIN-21DJ9JV9QH6:EECMI-NCE25-2/FCB.10FEC11 - V6 Unit.V6 Unit -  Season</t>
  </si>
  <si>
    <t>WIN-21DJ9JV9QH6:EECMI-NCE25-2/FCB.10FEC11 - V6 Unit.V6 Unit -  Season Change Over S</t>
  </si>
  <si>
    <t>WIN-21DJ9JV9QH6:EECMI-NCE25-2/FCB.10FEC11 - V6 Unit.V6 Unit -  Supply Fan State</t>
  </si>
  <si>
    <t>WIN-21DJ9JV9QH6:EECMI-NCE25-2/FCB.10FEC11 - V6 Unit.V6 Unit -  Supply Temperature</t>
  </si>
  <si>
    <t>WIN-21DJ9JV9QH6:EECMI-NCE25-2/FCB.10FEC11 - V6 Unit.V6 Unit -  VAV1 Regulation</t>
  </si>
  <si>
    <t>WIN-21DJ9JV9QH6:EECMI-NCE25-2/FCB.10FEC11 - V6 Unit.V6 Unit -  VAV2 Regulation</t>
  </si>
  <si>
    <t>WIN-21DJ9JV9QH6:EECMI-NCE25-2/FCB.10FEC11 - V6 Unit.V6 Unit Low Temp Minimun Open V</t>
  </si>
  <si>
    <t>WIN-21DJ9JV9QH6:EECMI-SNC-KNX/FCB.5-CGM09090 Default State</t>
  </si>
  <si>
    <t>WIN-21DJ9JV9QH6:SNE/BACnet IP1</t>
  </si>
  <si>
    <t>WIN-21DJ9JV9QH6:SNE/OPC-UA.EECMI_OPCUA_PLC1</t>
  </si>
  <si>
    <t>WIN-21DJ9JV9QH6:WIN-21DJ9JV9QH6</t>
  </si>
  <si>
    <t>WIN-21DJ9JV9QH6:EECMI-NAE553a</t>
  </si>
  <si>
    <t>WIN-21DJ9JV9QH6:EECMI-NCE25-1</t>
  </si>
  <si>
    <t>WIN-21DJ9JV9QH6:EECMI-NCE25-2</t>
  </si>
  <si>
    <t>WIN-21DJ9JV9QH6:EECMI-NCE25-3</t>
  </si>
  <si>
    <t>WIN-21DJ9JV9QH6:EECMI-SNC-02</t>
  </si>
  <si>
    <t>WIN-21DJ9JV9QH6:EECMI-SNC-KNX</t>
  </si>
  <si>
    <t>WIN-21DJ9JV9QH6:SNE</t>
  </si>
  <si>
    <t>WIN-21DJ9JV9QH6:EECMI-NCE25-2/FCB</t>
  </si>
  <si>
    <t>WIN-21DJ9JV9QH6:EECMI-NCE25-1/FCB</t>
  </si>
  <si>
    <t>WIN-21DJ9JV9QH6:EECMI-NCE25-3/FCB</t>
  </si>
  <si>
    <t>WIN-21DJ9JV9QH6:EECMI-SNC-KNX/FCB</t>
  </si>
  <si>
    <t>WIN-21DJ9JV9QH6:EECMI-SNC-KNX/KNX</t>
  </si>
  <si>
    <t>WIN-21DJ9JV9QH6:EECMI-NCE25-1/FCB.Local Application</t>
  </si>
  <si>
    <t>WIN-21DJ9JV9QH6:EECMI-NCE25-3/FCB.Local Application</t>
  </si>
  <si>
    <t>WIN-21DJ9JV9QH6:EECMI-SNC-KNX/Local Hardware IO.SA Bus.640_1</t>
  </si>
  <si>
    <t>WIN-21DJ9JV9QH6:EECMI-NAE553a/MBus</t>
  </si>
  <si>
    <t>WIN-21DJ9JV9QH6:EECMI-NAE553a/Modbus</t>
  </si>
  <si>
    <t>WIN-21DJ9JV9QH6:EECMI-SNC-KNX/Local Hardware IO.SA Bus.598_10001</t>
  </si>
  <si>
    <t>WIN-21DJ9JV9QH6:SNE/OPC_UA</t>
  </si>
  <si>
    <t>WIN-21DJ9JV9QH6:SNE/OPC-UA</t>
  </si>
  <si>
    <t>EEC Lab</t>
  </si>
  <si>
    <t>EECMI-LAB</t>
  </si>
  <si>
    <t>Floor 2</t>
  </si>
  <si>
    <t>JC LAB</t>
  </si>
  <si>
    <t>004f6d01-dc39-41c1-a799-fd7298c58fee, 56e83060-e9f3-461d-ad00-601022fbf849, fa087699-754d-4cad-a772-5fae4e76fbfc, 1a4abcc0-2b83-4dba-9eb6-325886592aa1, 00bfb89a-e812-4091-bf9b-a5e9c0ca6e85, dfaa5774-6f8d-4b5b-bde8-ef1719f2e990, e771d3ad-83ae-4e65-bbd5-9a1b96aa9f53, 16203e8e-1e92-4168-9c6b-8fc75510ccee, 8aea4a06-41ea-49bb-841a-12698e9da59e, e0775c49-b291-47d2-bdbe-7bc69b5edef2, 25d63977-ac66-4f21-b566-9f4cdbadb9cf, f01e476d-93d7-48b0-99ae-48348e58eadc, 89769777-94ce-4e4c-94b3-f8b58f284e78, eeb7e178-af6b-4704-964a-fb2707d9db2e, 3e42f8e4-2b3a-4018-9d73-dfb50a85dd8a, 34ebc137-495a-4f90-ae07-62e1b00d9337, 416cfbb3-d5f5-40d4-95d0-65560764dac3, 5a611981-bb1d-4829-839b-8f28d63543f8, 9f30816d-0b05-4e4c-81b3-88d6ef7eeef3, 66f2d2c9-2c2c-436d-ba91-14450102fe76, 81c88990-2fe0-46d8-a2a4-eafa88c56b19, b8e940cd-c8c1-4faf-8552-f9ab5c69d448, f24c780d-2811-4529-aa06-dda7d6821b39, 19fda9b6-3600-4659-b94e-c446ecf2ca2f, efb55fdb-54c1-4adb-93b9-181f115b1770, ebc05409-4c69-4fef-84d6-03e261921f8b, 012b00d8-6ad6-485f-b3ad-9fe705f08a8b, 41a1540f-b1d2-40b3-b78a-54f48ab6750c, 45a99949-88c2-40c4-b08d-2804cbf8b394, be9af721-c882-4fa1-8d56-5ca9a63a2c92, 704409f3-4d75-41cf-8175-4b4cb0b7ec79, a4f2768e-c4ef-4d62-a2ac-c79d222589c3, 50c96fe4-765f-439b-825b-c6bb4799d8ac, 69717b3b-5b07-4ed1-9caa-44b7ee824ff6, cda8f318-daa2-4309-8cca-9e1eef6ca4ba, df08ac1c-27f3-434f-bde7-f32c15eb5a87, 819e6d39-1505-4577-a448-2e2ceb1339d8, ac585b13-5b3c-449a-9a8d-075aba2815be, e1261d3f-2b1e-4d23-9d3a-dc2d8aaad77d, f182fd99-2995-4b2b-965f-d34cbfe83e8c, d9977236-6673-41d1-ba41-f486be4dcfea, 96858341-e26d-43be-bbfa-36de9cd88cfe, 78f9dee9-4256-471f-b368-4bdc689cca80, 4364217e-fa43-4239-8517-01006f7e4849, 0b224c96-2516-463e-9252-216a0ee7177c, f652a22e-ca36-476e-b438-18887c1bc84b, f2777840-dafc-44af-9a17-f9c70fe7ef78, 0ba37283-fa54-42c8-991b-970f5262025a, 509aedf6-5beb-42ee-b4b4-e750673593a6, 84477085-1eaf-4ba8-9610-2f5700c7d2a9, d56b2fe4-77b0-4098-9f3d-6d005f644b55, 03c1d802-de6f-4499-a4d7-dbbf72e78086, 02de1323-a4e6-494f-9154-9782000c7e80, 25fae8b4-13e7-42c5-a3da-6766b8535dfe, 18047bc3-b322-4a93-a380-8eb3504cfed4, 04f7cc5f-53ae-40fc-882d-d3a123a4e5cd, 17ddf949-c5f3-45f0-8d13-ba87e2341b3c, b2e868ed-63f5-427d-975d-891489e5f894, 21bbaa07-93df-4b52-97ac-75d90ff66e9a, 83209198-980c-44cc-b577-7cfaf2a5c6b5, a03e0cba-64c8-425e-96a1-09509ef88d9c, 7895cb23-78be-4ae7-a548-2e57e9ee3f5b, cb70aaab-41cd-4ccc-9bb3-d606044cfe7a, 4fff5a3c-d639-42ae-9953-cbec979e43ea, 34fe8ce0-102c-4f47-a811-59d07e83a535, e863f895-5062-4dfb-a481-9dba86f125d8, 7b7a739c-60e6-45d4-beff-5bf2616a6259, 2ea3c98f-7d13-4b04-9dd5-a414d41a908b, 5f1daf8d-7f25-4523-9bdf-ad0a71cb7169, d5080245-80b9-43cc-9468-1e99436d64d0, 312a3841-c9e4-4edb-ad36-daaa25d6333d, 5b56c754-a78c-4206-85f3-801162186ee4, f40116ce-60ad-410c-87ee-ac3bdd560725, 6cbb5851-531a-4ac2-8cbe-f5d0e1f1ac6a, 64750822-abe6-47a7-ac82-8749e1bedd3d, c29318e8-cc4d-41cd-95fb-6df90cee691c, 157703e2-ee2f-496b-bc57-563399d08255, eaf4b44e-2648-4e2e-86bb-09db632b8a0e, 93811b68-258b-4c15-a4be-e773295fc6be, dd90b843-f108-43ea-beb2-fb229b49d373, 1701eb34-b1dd-488f-8176-49c08ab666e0, 3d6eca08-34f4-41f4-97ac-8e79aa77a039, 629c4262-46ef-40eb-acfd-af599cc4015e, 0b9b3716-cd12-483a-8e32-eaebc80979b3, 54543eb1-6557-439e-ad40-41a842346229, c6cc5c1e-2476-416d-97ab-d236f01bfba2, a775cdaf-c954-48b9-b89d-b82e7ef45bf6, 41b9f0e2-7d2e-43e0-8eb4-b04ecbfc34f9, c134535f-fa10-4f0a-85ce-40c20bfc4dc7, 0087b2b1-7d22-4515-8a54-101db587da41, f3f5c664-dda7-4121-bbc6-7a473c517590, fe1ea895-b88f-43bf-878a-ffed2cc44b7f, fecb8cad-4a23-49d0-a9d3-aacdc21f9fbe, 741d1fca-8c47-4f34-9dad-9c79832a3460, d1de8fff-0842-451e-9253-f07e9817f050, 5e64f4d7-782b-4aae-9aa1-171deb6286b2, fd8993fc-b486-4e0d-bb60-6890f697d0bc, c4fa58da-0625-4a74-ae03-d7ee0826275f, fa74f36e-4f84-417f-9e06-e46d55e3b614, a315e0da-003b-464b-91d0-5bc2d317705b</t>
  </si>
  <si>
    <t>f65284bc-4ecd-49db-abf9-b948e79dd644 ,bccc567c-300b-4d38-894c-104cdd6e2836 ,33a46b69-8d8d-43a6-8787-e13c56890561 ,7d7508ca-f44e-4dc8-8998-055130743e6d ,ed183513-909f-45ce-9b53-2403a1c84d4d ,d08cbf76-4b35-4a5a-8c39-6b405d6652db ,2fdbc598-5f25-40ab-950f-ef5342ae012b ,52f894f2-eb05-4afd-8818-3f83f4231a0c ,3c939d7d-3040-4437-8d04-6835fb90253b ,a4096785-3040-4f48-a450-5303fba0184f ,7d0841d4-0c3a-4639-b75d-c606b00b7b77 ,18e426a3-f4a4-485e-9c24-99f20dc47d3b ,182c735d-b97b-4962-abe8-bab1068ec82c ,d15233ef-b82c-4a65-802c-4459eb78f3a6 ,fbb6d6c8-4e58-4982-ae6d-c0d739acfcb4 ,2e2219c2-eeab-4acf-8855-5e94ac8e479c ,f616db55-d0b2-4936-a41b-578dbe9ed3f9 ,002485fa-90eb-42a4-a136-45317079d6ab ,51d8d9d4-d6c5-49d6-bce5-9fac4c4cbd48 ,dd07eb90-5f16-46fd-acdf-70557786a973 ,59b1e8c8-1662-4c2f-b5d4-ad6ca1f7085d ,c131a104-7a6a-4c1b-8ab2-dffb50ff0da0 ,9d05f2f9-1fc0-4078-9f49-1d5a0d0c29ce ,6f88aba2-1ead-4d85-b873-8c9d22885cda ,d8ae12bb-fa7b-4109-8679-9295f7c75de0 ,9cc98a0c-1d39-4c65-ae49-34000066a7dc ,f5654358-28e9-4c11-a59e-a2360eeffdea ,32fb4725-872c-4736-abc0-b5dd2a4362e9 ,fb6cdcfb-43a8-4ba7-ba6b-24cb40f9602c ,d7969b9c-6f19-42f9-beb5-1f8f688ff512 ,1d5fe254-79c3-4ee1-97ad-1f642a7dea2e ,45d6fa61-8cd6-4ad9-bcd1-7bb85302b574 ,8a6ed6c3-a773-4987-bab7-1115ca50f96c ,07d8be33-8eec-4a01-be2c-c58e12c92d68 ,1a951827-ae7f-47c7-9aa8-ec761b2ed534 ,8eefbf32-55f6-4705-9f62-f5a64680f695 ,7a390577-fffd-4602-bdcf-98954706e640 ,25356528-ee51-47f3-b6b7-36aa7eee28a5 ,0e9a87c4-47d7-454b-a22a-c8c03bb24d5b ,56fb919d-ed94-47fd-afb1-194eb7b6f4ad ,3e28a9d6-5733-4346-bbc9-8b68e584fa5c ,71780b8e-e261-42d6-bb57-533333f9638f ,ee54a395-d665-47e2-8d92-5a8a8b09414d ,3192d6dc-eae5-4a55-9cc0-a188580e008e ,27db88f8-7cfa-40ff-979c-7606c198510e ,bd2b0870-6b96-4433-b9c6-623be44c25ce ,71fb2fdd-160d-4a58-8734-c18bd6384b7e ,ec37dd84-b879-4543-9e30-cbd76299fa3e ,4c927eaa-9820-42eb-bb26-35d229034101 ,6e67dba2-db34-4b21-9096-d4cbf4fb3dfe ,9e524574-757a-4f87-9946-bcdc2ea8e643 ,34e07138-b297-432b-90c1-205cf8a5db1b ,f40b4740-50bd-462e-a0cc-3ae023f2c728 ,659877f8-0db2-46ab-9909-bcb9aa843866 ,1c15de5d-4c6e-4e72-9441-46497ca94ee8 ,4a2affc5-2b11-40a8-b6fe-38f41f950e63 ,7142c10b-6480-4700-826f-cd1b629abdfe ,2d4695e3-3701-44a1-8144-99f6981d8027 ,deff0aee-b7a5-482b-bc36-60005092e977 ,379d77e6-7ca6-4da6-b29f-c54e5dd5dd3f ,7565c8c3-641a-4fcf-ad6a-cf5e620e111b ,c6324128-50c0-4373-b255-e78f0c4981f4 ,bb4fe939-e69e-42ba-84bf-67bd2387a30f ,7c277d66-4fbd-4f60-acfe-7615b0ef48f8 ,73e28ee6-198e-4fab-bb68-4963dfcd97a7 ,4a081fc4-34a1-460f-b7c1-a8deb3474006 ,0e28c162-bd02-4607-b5dd-248de28489b0 ,20d8f2f4-929d-4e63-9939-5ed39cf3494d ,e0cfe344-4cda-45b9-a1e1-a9829a0eceab ,912663fd-c9aa-4328-a8ff-2cf996ccaf77 ,52b6705b-5b1b-4be4-b99d-d788d1877597 ,0c88d980-ae4e-4adc-8940-437114aa7fa9 ,a47829c8-a988-4b4e-9e99-7aab91c0f6bf ,370c8a96-904b-4db0-9374-b3d8eca7b891 ,b48ea3ee-39b1-4cd6-865b-da5a1c78e562 ,33dc1e4a-d8a9-4c0a-85e9-41b5930aa2fd ,f95835c2-0262-4b12-8781-845a571310a6 ,f084c575-b814-479e-a0bc-59eef921115e ,f7d88176-8071-45f0-94de-38943eedfab8 ,bffab980-47e0-4058-9446-310e34ecb04e ,2999958b-32eb-46de-a2eb-2ceb505b254b ,4b0042a0-1746-45e3-b4dd-36d562afdbd6 ,f2adf7f4-7bb2-4f1c-879d-0fb86664de8f ,90b4fb61-83f2-4320-b23f-d27bb6df2a84 ,f5ce8723-6971-4568-b2e2-def33c8cf475 ,467eab62-b0bc-4219-bb22-b7445cdbc268 ,2028588c-e07e-46dd-909e-153e3820a21c ,51e15cd6-c47c-41f0-91a2-07c29b6c9013 ,d0bd7d44-0329-47b2-a07d-eaf3655971e3 ,161d1b57-7f54-4e61-96e7-106ddf11c06e ,1ee3e1ab-73bb-4aa2-8039-2fe5b310a0e5 ,13fb6fb6-3f2a-4d12-9e6a-4f6e3d1ee8c1 ,99f7d804-8f52-4914-8027-e9738093178c ,a8341f34-ef1e-4c0a-8ae2-a02a22c32928 ,ee432093-20bb-41db-a46c-fec9607168a8 ,426013d7-ded2-43bd-971d-2abb39f4374a ,9d8dd943-c08b-461a-897f-0efe2fb1590f ,a0da8e2f-2e3a-4311-ab2b-4d035a791876 ,d0bc801a-b99f-4296-8a24-cc7383401faa ,1075eb9e-14cb-491f-b211-be46725ccd37</t>
  </si>
  <si>
    <t>f1a17676-f421-4649-80a5-b13935ae7404</t>
  </si>
  <si>
    <t>f798591b-e6d6-441f-8f7b-596fc2e6c003</t>
  </si>
  <si>
    <t xml:space="preserve">THIS IS MY TEST ANNOTATION , </t>
  </si>
  <si>
    <t xml:space="preserve">THIS IS MY SINGLE ANNOTATION , </t>
  </si>
  <si>
    <t>535a899b-5e0e-5c95-9b8c-6180c06a4194</t>
  </si>
  <si>
    <t>3dfb7f09-2465-5520-b2d8-046e3b5ce80a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</si>
</sst>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32F62"/>
      <name val="Consolas"/>
      <family val="3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rgb="FFA31515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0" fillId="0" borderId="0" xfId="0" applyNumberFormat="1"/>
    <xf numFmtId="0" fontId="2" fillId="0" borderId="0" xfId="0" applyFont="1" applyAlignment="1">
      <alignment horizontal="left" vertical="center" indent="1"/>
    </xf>
    <xf numFmtId="0" fontId="3" fillId="0" borderId="0" xfId="0" applyFont="1" applyAlignment="1">
      <alignment vertical="center"/>
    </xf>
    <xf numFmtId="0" fontId="0" fillId="0" borderId="0" xfId="0" applyAlignment="1">
      <alignment horizontal="right"/>
    </xf>
    <xf numFmtId="0" fontId="0" fillId="0" borderId="0" xfId="0" applyAlignment="1">
      <alignment wrapText="1"/>
    </xf>
    <xf numFmtId="0" fontId="3" fillId="0" borderId="0" xfId="0" applyFont="1"/>
    <xf numFmtId="0" fontId="5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5762625</xdr:colOff>
          <xdr:row>12</xdr:row>
          <xdr:rowOff>19050</xdr:rowOff>
        </xdr:from>
        <xdr:to>
          <xdr:col>0</xdr:col>
          <xdr:colOff>6534150</xdr:colOff>
          <xdr:row>13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5810250</xdr:colOff>
          <xdr:row>0</xdr:row>
          <xdr:rowOff>19050</xdr:rowOff>
        </xdr:from>
        <xdr:to>
          <xdr:col>0</xdr:col>
          <xdr:colOff>6534150</xdr:colOff>
          <xdr:row>0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5629275</xdr:colOff>
          <xdr:row>12</xdr:row>
          <xdr:rowOff>19050</xdr:rowOff>
        </xdr:from>
        <xdr:to>
          <xdr:col>0</xdr:col>
          <xdr:colOff>6305550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5648325</xdr:colOff>
          <xdr:row>0</xdr:row>
          <xdr:rowOff>19050</xdr:rowOff>
        </xdr:from>
        <xdr:to>
          <xdr:col>0</xdr:col>
          <xdr:colOff>6343650</xdr:colOff>
          <xdr:row>0</xdr:row>
          <xdr:rowOff>180975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"/>
  <sheetViews>
    <sheetView workbookViewId="0">
      <selection activeCell="A2" sqref="A2"/>
    </sheetView>
  </sheetViews>
  <sheetFormatPr defaultRowHeight="15" x14ac:dyDescent="0.25"/>
  <cols>
    <col min="1" max="1" width="158.7109375" customWidth="1"/>
    <col min="2" max="2" width="34.5703125" customWidth="1"/>
    <col min="3" max="3" width="70" customWidth="1"/>
    <col min="4" max="4" width="22.42578125" customWidth="1"/>
    <col min="5" max="5" width="20.140625" customWidth="1"/>
  </cols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 t="s">
        <v>480</v>
      </c>
      <c r="B2" t="s">
        <v>258</v>
      </c>
      <c r="C2" s="2" t="str">
        <f>ReadMsProp(A2,B2)</f>
        <v>120</v>
      </c>
    </row>
    <row r="3" spans="1:3" x14ac:dyDescent="0.25">
      <c r="A3" t="s">
        <v>481</v>
      </c>
      <c r="B3" t="s">
        <v>14</v>
      </c>
      <c r="C3" s="2" t="str">
        <f>ReadMsProps(A3,B3)</f>
        <v>V5 Network Outdoor Temperature,TestM,TestM,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"/>
  <sheetViews>
    <sheetView workbookViewId="0">
      <selection activeCell="E8" sqref="E8"/>
    </sheetView>
  </sheetViews>
  <sheetFormatPr defaultRowHeight="15" x14ac:dyDescent="0.25"/>
  <cols>
    <col min="1" max="1" width="180.28515625" customWidth="1"/>
    <col min="2" max="2" width="28.42578125" customWidth="1"/>
    <col min="3" max="4" width="19.140625" customWidth="1"/>
    <col min="5" max="5" width="52.7109375" customWidth="1"/>
  </cols>
  <sheetData>
    <row r="1" spans="1:6" x14ac:dyDescent="0.25">
      <c r="A1" s="1" t="s">
        <v>0</v>
      </c>
      <c r="B1" s="1" t="s">
        <v>1</v>
      </c>
      <c r="C1" s="1" t="s">
        <v>3</v>
      </c>
      <c r="D1" s="1" t="s">
        <v>5</v>
      </c>
      <c r="E1" s="1" t="s">
        <v>6</v>
      </c>
      <c r="F1" s="1"/>
    </row>
    <row r="2" spans="1:6" x14ac:dyDescent="0.25">
      <c r="A2" t="s">
        <v>479</v>
      </c>
      <c r="B2" t="s">
        <v>4</v>
      </c>
      <c r="C2" t="s">
        <v>259</v>
      </c>
      <c r="E2">
        <f>WriteMsProp(A2,B2,C2,D2)</f>
        <v>0</v>
      </c>
    </row>
    <row r="3" spans="1:6" x14ac:dyDescent="0.25">
      <c r="A3" t="s">
        <v>482</v>
      </c>
      <c r="B3" t="s">
        <v>7</v>
      </c>
      <c r="C3" t="s">
        <v>8</v>
      </c>
      <c r="E3">
        <f>WriteMsProps(A3,B3,C3,D3)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"/>
  <sheetViews>
    <sheetView workbookViewId="0">
      <selection activeCell="B3" sqref="B3"/>
    </sheetView>
  </sheetViews>
  <sheetFormatPr defaultRowHeight="15" x14ac:dyDescent="0.25"/>
  <cols>
    <col min="1" max="1" width="67.28515625" customWidth="1"/>
    <col min="2" max="2" width="28.42578125" customWidth="1"/>
    <col min="3" max="3" width="45.28515625" customWidth="1"/>
    <col min="4" max="4" width="19.140625" customWidth="1"/>
  </cols>
  <sheetData>
    <row r="1" spans="1:5" x14ac:dyDescent="0.25">
      <c r="A1" s="1" t="s">
        <v>0</v>
      </c>
      <c r="B1" s="1" t="s">
        <v>9</v>
      </c>
      <c r="C1" s="1" t="s">
        <v>10</v>
      </c>
      <c r="D1" s="1" t="s">
        <v>6</v>
      </c>
      <c r="E1" s="1"/>
    </row>
    <row r="2" spans="1:5" x14ac:dyDescent="0.25">
      <c r="A2" t="s">
        <v>483</v>
      </c>
      <c r="B2" t="s">
        <v>11</v>
      </c>
      <c r="C2">
        <v>34</v>
      </c>
      <c r="D2">
        <f>SendMsCommand(A2,B2,C2)</f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4"/>
  <sheetViews>
    <sheetView workbookViewId="0">
      <selection activeCell="A7" sqref="A6:A7"/>
    </sheetView>
  </sheetViews>
  <sheetFormatPr defaultRowHeight="15" x14ac:dyDescent="0.25"/>
  <cols>
    <col min="1" max="1663" width="100.7109375" customWidth="1"/>
  </cols>
  <sheetData>
    <row r="1" spans="1:40" x14ac:dyDescent="0.25">
      <c r="A1" s="1" t="s">
        <v>0</v>
      </c>
      <c r="B1" s="1" t="s">
        <v>13</v>
      </c>
    </row>
    <row r="2" spans="1:40" ht="30" x14ac:dyDescent="0.25">
      <c r="A2" s="6" t="s">
        <v>484</v>
      </c>
      <c r="B2">
        <v>1</v>
      </c>
    </row>
    <row r="4" spans="1:40" x14ac:dyDescent="0.25">
      <c r="A4" t="s">
        <v>485</v>
      </c>
      <c r="B4" t="s">
        <v>486</v>
      </c>
      <c r="C4" t="s">
        <v>487</v>
      </c>
      <c r="D4" t="s">
        <v>479</v>
      </c>
      <c r="E4" t="s">
        <v>488</v>
      </c>
      <c r="F4" t="s">
        <v>489</v>
      </c>
      <c r="G4" t="s">
        <v>490</v>
      </c>
      <c r="H4" t="s">
        <v>491</v>
      </c>
      <c r="I4" t="s">
        <v>483</v>
      </c>
      <c r="J4" t="s">
        <v>480</v>
      </c>
      <c r="K4" t="s">
        <v>492</v>
      </c>
      <c r="L4" t="s">
        <v>493</v>
      </c>
      <c r="M4" t="s">
        <v>494</v>
      </c>
      <c r="N4" t="s">
        <v>495</v>
      </c>
      <c r="O4" t="s">
        <v>496</v>
      </c>
      <c r="P4" t="s">
        <v>497</v>
      </c>
      <c r="Q4" t="s">
        <v>498</v>
      </c>
      <c r="R4" t="s">
        <v>499</v>
      </c>
      <c r="S4" t="s">
        <v>500</v>
      </c>
      <c r="T4" t="s">
        <v>501</v>
      </c>
      <c r="U4" t="s">
        <v>502</v>
      </c>
      <c r="V4" t="s">
        <v>503</v>
      </c>
      <c r="W4" t="s">
        <v>504</v>
      </c>
      <c r="X4" t="s">
        <v>505</v>
      </c>
      <c r="Y4" t="s">
        <v>506</v>
      </c>
      <c r="Z4" t="s">
        <v>507</v>
      </c>
      <c r="AA4" t="s">
        <v>508</v>
      </c>
      <c r="AB4" t="s">
        <v>509</v>
      </c>
      <c r="AC4" t="s">
        <v>510</v>
      </c>
      <c r="AD4" t="s">
        <v>511</v>
      </c>
      <c r="AE4" t="s">
        <v>512</v>
      </c>
      <c r="AF4" t="s">
        <v>251</v>
      </c>
      <c r="AG4" t="s">
        <v>252</v>
      </c>
      <c r="AH4" t="s">
        <v>253</v>
      </c>
      <c r="AI4" t="s">
        <v>254</v>
      </c>
      <c r="AJ4" t="s">
        <v>255</v>
      </c>
      <c r="AK4" t="s">
        <v>250</v>
      </c>
      <c r="AL4" t="s">
        <v>260</v>
      </c>
      <c r="AM4" t="s">
        <v>256</v>
      </c>
      <c r="AN4" t="s">
        <v>257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8"/>
  <sheetViews>
    <sheetView workbookViewId="0">
      <selection activeCell="A18" sqref="A18:B18"/>
    </sheetView>
  </sheetViews>
  <sheetFormatPr defaultRowHeight="15" x14ac:dyDescent="0.25"/>
  <cols>
    <col min="2" max="2" width="20.28515625" customWidth="1"/>
    <col min="3" max="3" width="17" customWidth="1"/>
    <col min="4" max="4" width="18.28515625" customWidth="1"/>
    <col min="6" max="6" width="25.140625" customWidth="1"/>
    <col min="7" max="7" width="14.7109375" customWidth="1"/>
    <col min="8" max="8" width="17.140625" customWidth="1"/>
  </cols>
  <sheetData>
    <row r="1" spans="1:40" x14ac:dyDescent="0.25">
      <c r="A1" s="1" t="s">
        <v>385</v>
      </c>
    </row>
    <row r="4" spans="1:40" x14ac:dyDescent="0.25">
      <c r="A4" t="s">
        <v>386</v>
      </c>
      <c r="B4" t="s">
        <v>387</v>
      </c>
      <c r="C4" t="s">
        <v>388</v>
      </c>
      <c r="D4" t="s">
        <v>389</v>
      </c>
      <c r="E4" t="s">
        <v>390</v>
      </c>
      <c r="F4" t="s">
        <v>391</v>
      </c>
      <c r="G4" t="s">
        <v>392</v>
      </c>
      <c r="H4" t="s">
        <v>393</v>
      </c>
      <c r="I4" t="s">
        <v>394</v>
      </c>
      <c r="J4" t="s">
        <v>395</v>
      </c>
      <c r="K4" t="s">
        <v>396</v>
      </c>
      <c r="L4" t="s">
        <v>397</v>
      </c>
      <c r="M4" t="s">
        <v>398</v>
      </c>
      <c r="N4" t="s">
        <v>399</v>
      </c>
      <c r="O4" t="s">
        <v>400</v>
      </c>
      <c r="P4" t="s">
        <v>401</v>
      </c>
      <c r="Q4" t="s">
        <v>402</v>
      </c>
      <c r="R4" t="s">
        <v>403</v>
      </c>
      <c r="S4" t="s">
        <v>404</v>
      </c>
      <c r="T4" t="s">
        <v>405</v>
      </c>
      <c r="U4" t="s">
        <v>406</v>
      </c>
      <c r="V4" t="s">
        <v>407</v>
      </c>
      <c r="W4" t="s">
        <v>408</v>
      </c>
      <c r="X4" t="s">
        <v>409</v>
      </c>
      <c r="Y4" t="s">
        <v>410</v>
      </c>
      <c r="Z4" t="s">
        <v>411</v>
      </c>
      <c r="AA4" t="s">
        <v>412</v>
      </c>
      <c r="AB4" t="s">
        <v>413</v>
      </c>
      <c r="AC4" t="s">
        <v>414</v>
      </c>
      <c r="AD4" t="s">
        <v>415</v>
      </c>
      <c r="AE4" t="s">
        <v>416</v>
      </c>
      <c r="AF4" t="s">
        <v>417</v>
      </c>
      <c r="AG4" t="s">
        <v>418</v>
      </c>
      <c r="AH4" t="s">
        <v>419</v>
      </c>
      <c r="AI4" t="s">
        <v>420</v>
      </c>
      <c r="AJ4" t="s">
        <v>421</v>
      </c>
      <c r="AK4" t="s">
        <v>422</v>
      </c>
      <c r="AL4" t="s">
        <v>423</v>
      </c>
      <c r="AM4" t="s">
        <v>424</v>
      </c>
      <c r="AN4" t="s">
        <v>425</v>
      </c>
    </row>
    <row r="6" spans="1:40" x14ac:dyDescent="0.25">
      <c r="A6" s="1" t="s">
        <v>454</v>
      </c>
    </row>
    <row r="8" spans="1:40" x14ac:dyDescent="0.25">
      <c r="A8" t="s">
        <v>446</v>
      </c>
      <c r="B8" t="s">
        <v>447</v>
      </c>
      <c r="C8" t="s">
        <v>448</v>
      </c>
      <c r="D8" t="s">
        <v>449</v>
      </c>
      <c r="E8" t="s">
        <v>450</v>
      </c>
      <c r="F8" t="s">
        <v>451</v>
      </c>
      <c r="G8" t="s">
        <v>452</v>
      </c>
      <c r="H8" t="s">
        <v>453</v>
      </c>
    </row>
    <row r="14" spans="1:40" x14ac:dyDescent="0.25">
      <c r="A14" s="1" t="s">
        <v>455</v>
      </c>
    </row>
    <row r="16" spans="1:40" x14ac:dyDescent="0.25">
      <c r="A16" t="s">
        <v>416</v>
      </c>
    </row>
    <row r="18" spans="1:1" s="1" customFormat="1" x14ac:dyDescent="0.25">
      <c r="A18" s="1" t="s">
        <v>456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workbookViewId="0">
      <selection activeCell="F15" sqref="F15"/>
    </sheetView>
  </sheetViews>
  <sheetFormatPr defaultRowHeight="15" x14ac:dyDescent="0.25"/>
  <sheetData>
    <row r="1" spans="1:25" x14ac:dyDescent="0.25">
      <c r="A1" s="1" t="s">
        <v>384</v>
      </c>
    </row>
    <row r="4" spans="1:25" x14ac:dyDescent="0.25">
      <c r="A4" t="s">
        <v>537</v>
      </c>
      <c r="B4" t="s">
        <v>538</v>
      </c>
      <c r="C4" t="s">
        <v>539</v>
      </c>
      <c r="D4" t="s">
        <v>540</v>
      </c>
      <c r="E4" t="s">
        <v>426</v>
      </c>
      <c r="F4" t="s">
        <v>427</v>
      </c>
      <c r="G4" t="s">
        <v>428</v>
      </c>
      <c r="H4" t="s">
        <v>429</v>
      </c>
      <c r="I4" t="s">
        <v>430</v>
      </c>
      <c r="J4" t="s">
        <v>430</v>
      </c>
      <c r="K4" t="s">
        <v>431</v>
      </c>
      <c r="L4" t="s">
        <v>432</v>
      </c>
      <c r="M4" t="s">
        <v>433</v>
      </c>
      <c r="N4" t="s">
        <v>434</v>
      </c>
      <c r="O4" t="s">
        <v>435</v>
      </c>
      <c r="P4" t="s">
        <v>436</v>
      </c>
      <c r="Q4" t="s">
        <v>437</v>
      </c>
      <c r="R4" t="s">
        <v>438</v>
      </c>
      <c r="S4" t="s">
        <v>439</v>
      </c>
      <c r="T4" t="s">
        <v>440</v>
      </c>
      <c r="U4" t="s">
        <v>441</v>
      </c>
      <c r="V4" t="s">
        <v>442</v>
      </c>
      <c r="W4" t="s">
        <v>443</v>
      </c>
      <c r="X4" t="s">
        <v>444</v>
      </c>
      <c r="Y4" t="s">
        <v>445</v>
      </c>
    </row>
    <row r="17" spans="1:4" x14ac:dyDescent="0.25">
      <c r="A17" s="1" t="s">
        <v>456</v>
      </c>
    </row>
    <row r="20" spans="1:4" x14ac:dyDescent="0.25">
      <c r="A20" t="s">
        <v>457</v>
      </c>
      <c r="B20" t="s">
        <v>458</v>
      </c>
      <c r="C20" t="s">
        <v>459</v>
      </c>
      <c r="D20" t="s">
        <v>460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Q4"/>
  <sheetViews>
    <sheetView workbookViewId="0"/>
  </sheetViews>
  <sheetFormatPr defaultRowHeight="15" x14ac:dyDescent="0.25"/>
  <cols>
    <col min="1" max="340" width="100.7109375" customWidth="1"/>
  </cols>
  <sheetData>
    <row r="1" spans="1:381" x14ac:dyDescent="0.25">
      <c r="A1" s="1" t="s">
        <v>12</v>
      </c>
    </row>
    <row r="4" spans="1:381" x14ac:dyDescent="0.25">
      <c r="A4" t="s">
        <v>485</v>
      </c>
      <c r="B4" t="s">
        <v>513</v>
      </c>
      <c r="C4" t="s">
        <v>514</v>
      </c>
      <c r="D4" t="s">
        <v>515</v>
      </c>
      <c r="E4" t="s">
        <v>516</v>
      </c>
      <c r="F4" t="s">
        <v>517</v>
      </c>
      <c r="G4" t="s">
        <v>518</v>
      </c>
      <c r="H4" t="s">
        <v>519</v>
      </c>
      <c r="I4" t="s">
        <v>520</v>
      </c>
      <c r="J4" t="s">
        <v>521</v>
      </c>
      <c r="K4" t="s">
        <v>522</v>
      </c>
      <c r="L4" t="s">
        <v>523</v>
      </c>
      <c r="M4" t="s">
        <v>524</v>
      </c>
      <c r="N4" t="s">
        <v>525</v>
      </c>
      <c r="O4" t="s">
        <v>526</v>
      </c>
      <c r="P4" t="s">
        <v>527</v>
      </c>
      <c r="Q4" t="s">
        <v>528</v>
      </c>
      <c r="R4" t="s">
        <v>487</v>
      </c>
      <c r="S4" t="s">
        <v>529</v>
      </c>
      <c r="T4" t="s">
        <v>530</v>
      </c>
      <c r="U4" t="s">
        <v>531</v>
      </c>
      <c r="V4" t="s">
        <v>532</v>
      </c>
      <c r="W4" t="s">
        <v>533</v>
      </c>
      <c r="X4" t="s">
        <v>534</v>
      </c>
      <c r="Y4" t="s">
        <v>535</v>
      </c>
      <c r="Z4" t="s">
        <v>536</v>
      </c>
      <c r="AA4" t="s">
        <v>264</v>
      </c>
      <c r="AB4" t="s">
        <v>15</v>
      </c>
      <c r="AC4" t="s">
        <v>19</v>
      </c>
      <c r="AD4" t="s">
        <v>270</v>
      </c>
      <c r="AE4" t="s">
        <v>268</v>
      </c>
      <c r="AF4" t="s">
        <v>16</v>
      </c>
      <c r="AG4" t="s">
        <v>266</v>
      </c>
      <c r="AH4" t="s">
        <v>269</v>
      </c>
      <c r="AI4" t="s">
        <v>17</v>
      </c>
      <c r="AJ4" t="s">
        <v>18</v>
      </c>
      <c r="AK4" t="s">
        <v>267</v>
      </c>
      <c r="AL4" t="s">
        <v>265</v>
      </c>
      <c r="AM4" t="s">
        <v>276</v>
      </c>
      <c r="AN4" t="s">
        <v>272</v>
      </c>
      <c r="AO4" t="s">
        <v>20</v>
      </c>
      <c r="AP4" t="s">
        <v>22</v>
      </c>
      <c r="AQ4" t="s">
        <v>273</v>
      </c>
      <c r="AR4" t="s">
        <v>275</v>
      </c>
      <c r="AS4" t="s">
        <v>274</v>
      </c>
      <c r="AT4" t="s">
        <v>271</v>
      </c>
      <c r="AU4" t="s">
        <v>21</v>
      </c>
      <c r="AV4" t="s">
        <v>278</v>
      </c>
      <c r="AW4" t="s">
        <v>27</v>
      </c>
      <c r="AX4" t="s">
        <v>23</v>
      </c>
      <c r="AY4" t="s">
        <v>25</v>
      </c>
      <c r="AZ4" t="s">
        <v>28</v>
      </c>
      <c r="BA4" t="s">
        <v>277</v>
      </c>
      <c r="BB4" t="s">
        <v>29</v>
      </c>
      <c r="BC4" t="s">
        <v>26</v>
      </c>
      <c r="BD4" t="s">
        <v>24</v>
      </c>
      <c r="BE4" t="s">
        <v>285</v>
      </c>
      <c r="BF4" t="s">
        <v>282</v>
      </c>
      <c r="BG4" t="s">
        <v>30</v>
      </c>
      <c r="BH4" t="s">
        <v>280</v>
      </c>
      <c r="BI4" t="s">
        <v>283</v>
      </c>
      <c r="BJ4" t="s">
        <v>31</v>
      </c>
      <c r="BK4" t="s">
        <v>284</v>
      </c>
      <c r="BL4" t="s">
        <v>281</v>
      </c>
      <c r="BM4" t="s">
        <v>279</v>
      </c>
      <c r="BN4" t="s">
        <v>288</v>
      </c>
      <c r="BO4" t="s">
        <v>35</v>
      </c>
      <c r="BP4" t="s">
        <v>286</v>
      </c>
      <c r="BQ4" t="s">
        <v>33</v>
      </c>
      <c r="BR4" t="s">
        <v>36</v>
      </c>
      <c r="BS4" t="s">
        <v>287</v>
      </c>
      <c r="BT4" t="s">
        <v>37</v>
      </c>
      <c r="BU4" t="s">
        <v>34</v>
      </c>
      <c r="BV4" t="s">
        <v>32</v>
      </c>
      <c r="BW4" t="s">
        <v>295</v>
      </c>
      <c r="BX4" t="s">
        <v>292</v>
      </c>
      <c r="BY4" t="s">
        <v>38</v>
      </c>
      <c r="BZ4" t="s">
        <v>290</v>
      </c>
      <c r="CA4" t="s">
        <v>293</v>
      </c>
      <c r="CB4" t="s">
        <v>39</v>
      </c>
      <c r="CC4" t="s">
        <v>294</v>
      </c>
      <c r="CD4" t="s">
        <v>291</v>
      </c>
      <c r="CE4" t="s">
        <v>289</v>
      </c>
      <c r="CF4" t="s">
        <v>297</v>
      </c>
      <c r="CG4" t="s">
        <v>44</v>
      </c>
      <c r="CH4" t="s">
        <v>40</v>
      </c>
      <c r="CI4" t="s">
        <v>42</v>
      </c>
      <c r="CJ4" t="s">
        <v>45</v>
      </c>
      <c r="CK4" t="s">
        <v>296</v>
      </c>
      <c r="CL4" t="s">
        <v>46</v>
      </c>
      <c r="CM4" t="s">
        <v>43</v>
      </c>
      <c r="CN4" t="s">
        <v>41</v>
      </c>
      <c r="CO4" t="s">
        <v>306</v>
      </c>
      <c r="CP4" t="s">
        <v>301</v>
      </c>
      <c r="CQ4" t="s">
        <v>304</v>
      </c>
      <c r="CR4" t="s">
        <v>299</v>
      </c>
      <c r="CS4" t="s">
        <v>302</v>
      </c>
      <c r="CT4" t="s">
        <v>305</v>
      </c>
      <c r="CU4" t="s">
        <v>303</v>
      </c>
      <c r="CV4" t="s">
        <v>300</v>
      </c>
      <c r="CW4" t="s">
        <v>298</v>
      </c>
      <c r="CX4" t="s">
        <v>307</v>
      </c>
      <c r="CY4" t="s">
        <v>51</v>
      </c>
      <c r="CZ4" t="s">
        <v>47</v>
      </c>
      <c r="DA4" t="s">
        <v>49</v>
      </c>
      <c r="DB4" t="s">
        <v>52</v>
      </c>
      <c r="DC4" t="s">
        <v>53</v>
      </c>
      <c r="DD4" t="s">
        <v>54</v>
      </c>
      <c r="DE4" t="s">
        <v>50</v>
      </c>
      <c r="DF4" t="s">
        <v>48</v>
      </c>
      <c r="DG4" t="s">
        <v>314</v>
      </c>
      <c r="DH4" t="s">
        <v>309</v>
      </c>
      <c r="DI4" t="s">
        <v>312</v>
      </c>
      <c r="DJ4" t="s">
        <v>56</v>
      </c>
      <c r="DK4" t="s">
        <v>310</v>
      </c>
      <c r="DL4" t="s">
        <v>313</v>
      </c>
      <c r="DM4" t="s">
        <v>311</v>
      </c>
      <c r="DN4" t="s">
        <v>308</v>
      </c>
      <c r="DO4" t="s">
        <v>55</v>
      </c>
      <c r="DP4" t="s">
        <v>319</v>
      </c>
      <c r="DQ4" t="s">
        <v>318</v>
      </c>
      <c r="DR4" t="s">
        <v>57</v>
      </c>
      <c r="DS4" t="s">
        <v>316</v>
      </c>
      <c r="DT4" t="s">
        <v>58</v>
      </c>
      <c r="DU4" t="s">
        <v>59</v>
      </c>
      <c r="DV4" t="s">
        <v>60</v>
      </c>
      <c r="DW4" t="s">
        <v>317</v>
      </c>
      <c r="DX4" t="s">
        <v>315</v>
      </c>
      <c r="DY4" t="s">
        <v>321</v>
      </c>
      <c r="DZ4" t="s">
        <v>65</v>
      </c>
      <c r="EA4" t="s">
        <v>61</v>
      </c>
      <c r="EB4" t="s">
        <v>63</v>
      </c>
      <c r="EC4" t="s">
        <v>66</v>
      </c>
      <c r="ED4" t="s">
        <v>320</v>
      </c>
      <c r="EE4" t="s">
        <v>67</v>
      </c>
      <c r="EF4" t="s">
        <v>64</v>
      </c>
      <c r="EG4" t="s">
        <v>62</v>
      </c>
      <c r="EH4" t="s">
        <v>330</v>
      </c>
      <c r="EI4" t="s">
        <v>325</v>
      </c>
      <c r="EJ4" t="s">
        <v>328</v>
      </c>
      <c r="EK4" t="s">
        <v>323</v>
      </c>
      <c r="EL4" t="s">
        <v>326</v>
      </c>
      <c r="EM4" t="s">
        <v>329</v>
      </c>
      <c r="EN4" t="s">
        <v>327</v>
      </c>
      <c r="EO4" t="s">
        <v>324</v>
      </c>
      <c r="EP4" t="s">
        <v>322</v>
      </c>
      <c r="EQ4" t="s">
        <v>333</v>
      </c>
      <c r="ER4" t="s">
        <v>70</v>
      </c>
      <c r="ES4" t="s">
        <v>68</v>
      </c>
      <c r="ET4" t="s">
        <v>332</v>
      </c>
      <c r="EU4" t="s">
        <v>71</v>
      </c>
      <c r="EV4" t="s">
        <v>72</v>
      </c>
      <c r="EW4" t="s">
        <v>73</v>
      </c>
      <c r="EX4" t="s">
        <v>69</v>
      </c>
      <c r="EY4" t="s">
        <v>331</v>
      </c>
      <c r="EZ4" t="s">
        <v>336</v>
      </c>
      <c r="FA4" t="s">
        <v>77</v>
      </c>
      <c r="FB4" t="s">
        <v>334</v>
      </c>
      <c r="FC4" t="s">
        <v>75</v>
      </c>
      <c r="FD4" t="s">
        <v>78</v>
      </c>
      <c r="FE4" t="s">
        <v>335</v>
      </c>
      <c r="FF4" t="s">
        <v>79</v>
      </c>
      <c r="FG4" t="s">
        <v>76</v>
      </c>
      <c r="FH4" t="s">
        <v>74</v>
      </c>
      <c r="FI4" t="s">
        <v>345</v>
      </c>
      <c r="FJ4" t="s">
        <v>340</v>
      </c>
      <c r="FK4" t="s">
        <v>343</v>
      </c>
      <c r="FL4" t="s">
        <v>338</v>
      </c>
      <c r="FM4" t="s">
        <v>341</v>
      </c>
      <c r="FN4" t="s">
        <v>344</v>
      </c>
      <c r="FO4" t="s">
        <v>342</v>
      </c>
      <c r="FP4" t="s">
        <v>339</v>
      </c>
      <c r="FQ4" t="s">
        <v>337</v>
      </c>
      <c r="FR4" t="s">
        <v>348</v>
      </c>
      <c r="FS4" t="s">
        <v>82</v>
      </c>
      <c r="FT4" t="s">
        <v>80</v>
      </c>
      <c r="FU4" t="s">
        <v>347</v>
      </c>
      <c r="FV4" t="s">
        <v>83</v>
      </c>
      <c r="FW4" t="s">
        <v>84</v>
      </c>
      <c r="FX4" t="s">
        <v>85</v>
      </c>
      <c r="FY4" t="s">
        <v>81</v>
      </c>
      <c r="FZ4" t="s">
        <v>346</v>
      </c>
      <c r="GA4" t="s">
        <v>350</v>
      </c>
      <c r="GB4" t="s">
        <v>90</v>
      </c>
      <c r="GC4" t="s">
        <v>86</v>
      </c>
      <c r="GD4" t="s">
        <v>88</v>
      </c>
      <c r="GE4" t="s">
        <v>91</v>
      </c>
      <c r="GF4" t="s">
        <v>349</v>
      </c>
      <c r="GG4" t="s">
        <v>92</v>
      </c>
      <c r="GH4" t="s">
        <v>89</v>
      </c>
      <c r="GI4" t="s">
        <v>87</v>
      </c>
      <c r="GJ4" t="s">
        <v>359</v>
      </c>
      <c r="GK4" t="s">
        <v>354</v>
      </c>
      <c r="GL4" t="s">
        <v>357</v>
      </c>
      <c r="GM4" t="s">
        <v>352</v>
      </c>
      <c r="GN4" t="s">
        <v>355</v>
      </c>
      <c r="GO4" t="s">
        <v>358</v>
      </c>
      <c r="GP4" t="s">
        <v>356</v>
      </c>
      <c r="GQ4" t="s">
        <v>353</v>
      </c>
      <c r="GR4" t="s">
        <v>351</v>
      </c>
      <c r="GS4" t="s">
        <v>364</v>
      </c>
      <c r="GT4" t="s">
        <v>363</v>
      </c>
      <c r="GU4" t="s">
        <v>93</v>
      </c>
      <c r="GV4" t="s">
        <v>361</v>
      </c>
      <c r="GW4" t="s">
        <v>94</v>
      </c>
      <c r="GX4" t="s">
        <v>95</v>
      </c>
      <c r="GY4" t="s">
        <v>96</v>
      </c>
      <c r="GZ4" t="s">
        <v>362</v>
      </c>
      <c r="HA4" t="s">
        <v>360</v>
      </c>
      <c r="HB4" t="s">
        <v>365</v>
      </c>
      <c r="HC4" t="s">
        <v>101</v>
      </c>
      <c r="HD4" t="s">
        <v>97</v>
      </c>
      <c r="HE4" t="s">
        <v>99</v>
      </c>
      <c r="HF4" t="s">
        <v>102</v>
      </c>
      <c r="HG4" t="s">
        <v>103</v>
      </c>
      <c r="HH4" t="s">
        <v>104</v>
      </c>
      <c r="HI4" t="s">
        <v>100</v>
      </c>
      <c r="HJ4" t="s">
        <v>98</v>
      </c>
      <c r="HK4" t="s">
        <v>366</v>
      </c>
      <c r="HL4" t="s">
        <v>109</v>
      </c>
      <c r="HM4" t="s">
        <v>105</v>
      </c>
      <c r="HN4" t="s">
        <v>107</v>
      </c>
      <c r="HO4" t="s">
        <v>110</v>
      </c>
      <c r="HP4" t="s">
        <v>111</v>
      </c>
      <c r="HQ4" t="s">
        <v>112</v>
      </c>
      <c r="HR4" t="s">
        <v>108</v>
      </c>
      <c r="HS4" t="s">
        <v>106</v>
      </c>
      <c r="HT4" t="s">
        <v>367</v>
      </c>
      <c r="HU4" t="s">
        <v>117</v>
      </c>
      <c r="HV4" t="s">
        <v>113</v>
      </c>
      <c r="HW4" t="s">
        <v>115</v>
      </c>
      <c r="HX4" t="s">
        <v>118</v>
      </c>
      <c r="HY4" t="s">
        <v>119</v>
      </c>
      <c r="HZ4" t="s">
        <v>120</v>
      </c>
      <c r="IA4" t="s">
        <v>116</v>
      </c>
      <c r="IB4" t="s">
        <v>114</v>
      </c>
      <c r="IC4" t="s">
        <v>368</v>
      </c>
      <c r="ID4" t="s">
        <v>125</v>
      </c>
      <c r="IE4" t="s">
        <v>121</v>
      </c>
      <c r="IF4" t="s">
        <v>123</v>
      </c>
      <c r="IG4" t="s">
        <v>126</v>
      </c>
      <c r="IH4" t="s">
        <v>127</v>
      </c>
      <c r="II4" t="s">
        <v>128</v>
      </c>
      <c r="IJ4" t="s">
        <v>124</v>
      </c>
      <c r="IK4" t="s">
        <v>122</v>
      </c>
      <c r="IL4" t="s">
        <v>369</v>
      </c>
      <c r="IM4" t="s">
        <v>133</v>
      </c>
      <c r="IN4" t="s">
        <v>129</v>
      </c>
      <c r="IO4" t="s">
        <v>131</v>
      </c>
      <c r="IP4" t="s">
        <v>134</v>
      </c>
      <c r="IQ4" t="s">
        <v>135</v>
      </c>
      <c r="IR4" t="s">
        <v>136</v>
      </c>
      <c r="IS4" t="s">
        <v>132</v>
      </c>
      <c r="IT4" t="s">
        <v>130</v>
      </c>
      <c r="IU4" t="s">
        <v>370</v>
      </c>
      <c r="IV4" t="s">
        <v>141</v>
      </c>
      <c r="IW4" t="s">
        <v>137</v>
      </c>
      <c r="IX4" t="s">
        <v>139</v>
      </c>
      <c r="IY4" t="s">
        <v>142</v>
      </c>
      <c r="IZ4" t="s">
        <v>143</v>
      </c>
      <c r="JA4" t="s">
        <v>144</v>
      </c>
      <c r="JB4" t="s">
        <v>140</v>
      </c>
      <c r="JC4" t="s">
        <v>138</v>
      </c>
      <c r="JD4" t="s">
        <v>371</v>
      </c>
      <c r="JE4" t="s">
        <v>149</v>
      </c>
      <c r="JF4" t="s">
        <v>145</v>
      </c>
      <c r="JG4" t="s">
        <v>147</v>
      </c>
      <c r="JH4" t="s">
        <v>150</v>
      </c>
      <c r="JI4" t="s">
        <v>151</v>
      </c>
      <c r="JJ4" t="s">
        <v>152</v>
      </c>
      <c r="JK4" t="s">
        <v>148</v>
      </c>
      <c r="JL4" t="s">
        <v>146</v>
      </c>
      <c r="JM4" t="s">
        <v>372</v>
      </c>
      <c r="JN4" t="s">
        <v>157</v>
      </c>
      <c r="JO4" t="s">
        <v>153</v>
      </c>
      <c r="JP4" t="s">
        <v>155</v>
      </c>
      <c r="JQ4" t="s">
        <v>158</v>
      </c>
      <c r="JR4" t="s">
        <v>159</v>
      </c>
      <c r="JS4" t="s">
        <v>160</v>
      </c>
      <c r="JT4" t="s">
        <v>156</v>
      </c>
      <c r="JU4" t="s">
        <v>154</v>
      </c>
      <c r="JV4" t="s">
        <v>373</v>
      </c>
      <c r="JW4" t="s">
        <v>165</v>
      </c>
      <c r="JX4" t="s">
        <v>161</v>
      </c>
      <c r="JY4" t="s">
        <v>163</v>
      </c>
      <c r="JZ4" t="s">
        <v>166</v>
      </c>
      <c r="KA4" t="s">
        <v>167</v>
      </c>
      <c r="KB4" t="s">
        <v>168</v>
      </c>
      <c r="KC4" t="s">
        <v>164</v>
      </c>
      <c r="KD4" t="s">
        <v>162</v>
      </c>
      <c r="KE4" t="s">
        <v>374</v>
      </c>
      <c r="KF4" t="s">
        <v>173</v>
      </c>
      <c r="KG4" t="s">
        <v>169</v>
      </c>
      <c r="KH4" t="s">
        <v>171</v>
      </c>
      <c r="KI4" t="s">
        <v>174</v>
      </c>
      <c r="KJ4" t="s">
        <v>175</v>
      </c>
      <c r="KK4" t="s">
        <v>176</v>
      </c>
      <c r="KL4" t="s">
        <v>172</v>
      </c>
      <c r="KM4" t="s">
        <v>170</v>
      </c>
      <c r="KN4" t="s">
        <v>375</v>
      </c>
      <c r="KO4" t="s">
        <v>181</v>
      </c>
      <c r="KP4" t="s">
        <v>177</v>
      </c>
      <c r="KQ4" t="s">
        <v>179</v>
      </c>
      <c r="KR4" t="s">
        <v>182</v>
      </c>
      <c r="KS4" t="s">
        <v>183</v>
      </c>
      <c r="KT4" t="s">
        <v>184</v>
      </c>
      <c r="KU4" t="s">
        <v>180</v>
      </c>
      <c r="KV4" t="s">
        <v>178</v>
      </c>
      <c r="KW4" t="s">
        <v>376</v>
      </c>
      <c r="KX4" t="s">
        <v>189</v>
      </c>
      <c r="KY4" t="s">
        <v>185</v>
      </c>
      <c r="KZ4" t="s">
        <v>187</v>
      </c>
      <c r="LA4" t="s">
        <v>190</v>
      </c>
      <c r="LB4" t="s">
        <v>191</v>
      </c>
      <c r="LC4" t="s">
        <v>192</v>
      </c>
      <c r="LD4" t="s">
        <v>188</v>
      </c>
      <c r="LE4" t="s">
        <v>186</v>
      </c>
      <c r="LF4" t="s">
        <v>377</v>
      </c>
      <c r="LG4" t="s">
        <v>197</v>
      </c>
      <c r="LH4" t="s">
        <v>193</v>
      </c>
      <c r="LI4" t="s">
        <v>195</v>
      </c>
      <c r="LJ4" t="s">
        <v>198</v>
      </c>
      <c r="LK4" t="s">
        <v>199</v>
      </c>
      <c r="LL4" t="s">
        <v>200</v>
      </c>
      <c r="LM4" t="s">
        <v>196</v>
      </c>
      <c r="LN4" t="s">
        <v>194</v>
      </c>
      <c r="LO4" t="s">
        <v>378</v>
      </c>
      <c r="LP4" t="s">
        <v>205</v>
      </c>
      <c r="LQ4" t="s">
        <v>201</v>
      </c>
      <c r="LR4" t="s">
        <v>203</v>
      </c>
      <c r="LS4" t="s">
        <v>206</v>
      </c>
      <c r="LT4" t="s">
        <v>207</v>
      </c>
      <c r="LU4" t="s">
        <v>208</v>
      </c>
      <c r="LV4" t="s">
        <v>204</v>
      </c>
      <c r="LW4" t="s">
        <v>202</v>
      </c>
      <c r="LX4" t="s">
        <v>379</v>
      </c>
      <c r="LY4" t="s">
        <v>213</v>
      </c>
      <c r="LZ4" t="s">
        <v>209</v>
      </c>
      <c r="MA4" t="s">
        <v>211</v>
      </c>
      <c r="MB4" t="s">
        <v>214</v>
      </c>
      <c r="MC4" t="s">
        <v>215</v>
      </c>
      <c r="MD4" t="s">
        <v>216</v>
      </c>
      <c r="ME4" t="s">
        <v>212</v>
      </c>
      <c r="MF4" t="s">
        <v>210</v>
      </c>
      <c r="MG4" t="s">
        <v>380</v>
      </c>
      <c r="MH4" t="s">
        <v>221</v>
      </c>
      <c r="MI4" t="s">
        <v>217</v>
      </c>
      <c r="MJ4" t="s">
        <v>219</v>
      </c>
      <c r="MK4" t="s">
        <v>222</v>
      </c>
      <c r="ML4" t="s">
        <v>223</v>
      </c>
      <c r="MM4" t="s">
        <v>224</v>
      </c>
      <c r="MN4" t="s">
        <v>220</v>
      </c>
      <c r="MO4" t="s">
        <v>218</v>
      </c>
      <c r="MP4" t="s">
        <v>381</v>
      </c>
      <c r="MQ4" t="s">
        <v>229</v>
      </c>
      <c r="MR4" t="s">
        <v>225</v>
      </c>
      <c r="MS4" t="s">
        <v>227</v>
      </c>
      <c r="MT4" t="s">
        <v>230</v>
      </c>
      <c r="MU4" t="s">
        <v>231</v>
      </c>
      <c r="MV4" t="s">
        <v>232</v>
      </c>
      <c r="MW4" t="s">
        <v>228</v>
      </c>
      <c r="MX4" t="s">
        <v>226</v>
      </c>
      <c r="MY4" t="s">
        <v>382</v>
      </c>
      <c r="MZ4" t="s">
        <v>237</v>
      </c>
      <c r="NA4" t="s">
        <v>233</v>
      </c>
      <c r="NB4" t="s">
        <v>235</v>
      </c>
      <c r="NC4" t="s">
        <v>238</v>
      </c>
      <c r="ND4" t="s">
        <v>239</v>
      </c>
      <c r="NE4" t="s">
        <v>240</v>
      </c>
      <c r="NF4" t="s">
        <v>236</v>
      </c>
      <c r="NG4" t="s">
        <v>234</v>
      </c>
      <c r="NH4" t="s">
        <v>241</v>
      </c>
      <c r="NI4" t="s">
        <v>383</v>
      </c>
      <c r="NJ4" t="s">
        <v>242</v>
      </c>
      <c r="NK4" t="s">
        <v>243</v>
      </c>
      <c r="NL4" t="s">
        <v>244</v>
      </c>
      <c r="NM4" t="s">
        <v>245</v>
      </c>
      <c r="NN4" t="s">
        <v>246</v>
      </c>
      <c r="NO4" t="s">
        <v>247</v>
      </c>
      <c r="NP4" t="s">
        <v>248</v>
      </c>
      <c r="NQ4" t="s">
        <v>249</v>
      </c>
    </row>
  </sheetData>
  <dataConsolidate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14"/>
  <sheetViews>
    <sheetView workbookViewId="0">
      <selection activeCell="B14" sqref="B14"/>
    </sheetView>
  </sheetViews>
  <sheetFormatPr defaultRowHeight="15" x14ac:dyDescent="0.25"/>
  <cols>
    <col min="1" max="1" width="100.7109375" customWidth="1"/>
    <col min="2" max="2" width="46.42578125" customWidth="1"/>
    <col min="3" max="340" width="100.7109375" customWidth="1"/>
  </cols>
  <sheetData>
    <row r="1" spans="1:2" x14ac:dyDescent="0.25">
      <c r="A1" s="1" t="s">
        <v>475</v>
      </c>
    </row>
    <row r="2" spans="1:2" x14ac:dyDescent="0.25">
      <c r="A2" t="s">
        <v>541</v>
      </c>
    </row>
    <row r="5" spans="1:2" x14ac:dyDescent="0.25">
      <c r="A5" s="1" t="s">
        <v>474</v>
      </c>
      <c r="B5" s="1" t="s">
        <v>263</v>
      </c>
    </row>
    <row r="6" spans="1:2" x14ac:dyDescent="0.25">
      <c r="A6" t="e">
        <f>ReadAlarmsForAnObject(B6)</f>
        <v>#VALUE!</v>
      </c>
      <c r="B6" s="8" t="s">
        <v>548</v>
      </c>
    </row>
    <row r="9" spans="1:2" x14ac:dyDescent="0.25">
      <c r="A9" s="1" t="s">
        <v>473</v>
      </c>
      <c r="B9" s="1" t="s">
        <v>262</v>
      </c>
    </row>
    <row r="10" spans="1:2" x14ac:dyDescent="0.25">
      <c r="A10" t="str">
        <f>ReadAlarmsForNetworkDevice(B10)</f>
        <v>434275b7-1cf4-42a7-a6a7-f26a25467f9d,cdcb748e-cda7-4acd-aa43-99ad52bb6cc9,131fc8c2-439f-4625-95ef-e6be89cfa085,6d706733-6622-4ebf-8263-514514373802,fe4dc4ee-6dde-4a19-b7fb-583e846bacf1,e6320db0-e605-4785-a9d6-a2676a2457a1,c31f7c89-e7ac-42de-9838-738a6bb6a32f,ce1ec9c2-3947-446a-ac83-2f155becb31b,ba7ad7dc-874a-4e66-87b0-29dace581c09,8e335207-0761-4cc9-82cd-4762f08b796d,e8977cfd-8c69-4931-aded-fa6c5e98b257,fd491334-0ba7-46cb-bbdc-813346e29c8d,8051b1f9-bd52-4cfe-bdf0-593bab92d638,71cf649a-3f49-450a-aefa-b57314109cd8,efd41008-f58b-4b79-947b-39a63ae35d8b,5a1f0836-0275-4d76-bdc8-29248b464a1f,c67bb416-4426-4ea8-a33a-5d865c08a633,7d227ef2-c87e-45c5-b574-f472d70db286,a3111f13-1c19-47a9-8d5e-e29c5761856d,8be07cc0-fd1d-49d8-9a56-5fe51ba61807,e1450caf-b877-4d56-8d36-9304ff08452d,465e7e48-7da8-4155-b9c2-805e5938cc79,4c9a19c7-7036-4ab4-9ee8-ab7e6113f008,5f8bbb4c-f14b-4ef1-bbfa-e082daf63519,c8134a02-bc4f-4455-88fc-18821f93c54c,9267d673-2e67-463f-a98a-ab98ae8157bd,5cd820f2-8172-4c00-9679-e78dce5a9a91,6dcf3b89-a5ba-4f37-afb4-9d1955d42edc,972debae-9c61-48e9-a5ed-8c0ecf66d844,9951c9df-01d7-4cd4-ba77-4ca8c9a01d76,55280e88-2f52-43f1-9301-236dc1347739,f641999d-da4a-4c33-9961-6da411ebe621,113b397e-7b4b-4681-b7a9-fa735b18248d,4fc084ff-0e82-4d71-b2c2-d41790cd0e06,578bb873-2f97-477d-a371-6f7ceb27f011,6ecb4095-f97a-48dd-a753-5a50e6216af2,29a687e4-c475-4540-b052-c6941cf8ed94,2162f697-2c61-413c-b1d5-8017f39b5ab4,7b9ecaa6-64dd-4161-8787-bc21301020a7,902eb599-c18b-4763-8076-18bf0d9d1c54,254d5313-4728-4f63-925e-27f2827003de,e395fe30-bdd2-4bef-8ee9-bf1a49bb09c2,1135e358-2537-45d6-a5e4-eff1abac35f8,17ea98c1-d26f-4b73-a215-0541f39aed57,1c52a3b8-da93-467d-953c-98a5a930bad7,1f7404c8-59bd-4dc7-86a5-797bd8d12304,6c87d000-36b0-411d-9e73-f7587fa3d0b0,40fcbec1-d72e-4517-a854-3ea4f707e1c5,e1763f96-cc7b-472a-9111-3e744edaf522,0034994a-f471-4488-9754-7f4dbb9468fb,50961a6a-c07d-4998-ac80-95d35e7aed25,85902835-9d52-4c51-a8d6-2f4c3f02bee0,a609e4c4-675e-4723-83fb-76c91e8cbc9d,e72ba2e6-3050-4c80-bae7-ebfe04f8e827,f5c4e54d-3b8b-446f-9179-f3d2e4c7924e,4d622b0e-52b9-479f-b295-3b33962d95fa,b586957f-aa66-4cf7-9bac-2d4ccf29f3a5,39679bcb-c9df-4765-b44e-fb57c6cea3f7,2259f678-1640-4dac-aab0-c28aeacdefeb,5c5c1080-1bb6-48ae-bf54-6b17578f17f9,b64bcc2a-6bb2-48b8-b443-4b13ac1cecee,18b97064-4be4-4ea1-9c54-24ebfae95cbe,18da7e49-0a60-4ab7-b4ce-11b361e21591,78c9c04b-ee65-4c1d-9ac7-88f9109394cb,5ca38110-d5af-48d0-83ec-276cbb55b6c4</v>
      </c>
      <c r="B10" s="7" t="s">
        <v>547</v>
      </c>
    </row>
    <row r="13" spans="1:2" x14ac:dyDescent="0.25">
      <c r="A13" s="1" t="s">
        <v>472</v>
      </c>
      <c r="B13" s="1" t="s">
        <v>471</v>
      </c>
    </row>
    <row r="14" spans="1:2" x14ac:dyDescent="0.25">
      <c r="A14" t="s">
        <v>545</v>
      </c>
      <c r="B14" s="4" t="s">
        <v>543</v>
      </c>
    </row>
  </sheetData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ecute_ReadAlarmAnnotations_Click">
                <anchor moveWithCells="1" sizeWithCells="1">
                  <from>
                    <xdr:col>0</xdr:col>
                    <xdr:colOff>5762625</xdr:colOff>
                    <xdr:row>12</xdr:row>
                    <xdr:rowOff>19050</xdr:rowOff>
                  </from>
                  <to>
                    <xdr:col>0</xdr:col>
                    <xdr:colOff>6534150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ecute_ReadAlarms_Click">
                <anchor moveWithCells="1" sizeWithCells="1">
                  <from>
                    <xdr:col>0</xdr:col>
                    <xdr:colOff>5810250</xdr:colOff>
                    <xdr:row>0</xdr:row>
                    <xdr:rowOff>19050</xdr:rowOff>
                  </from>
                  <to>
                    <xdr:col>0</xdr:col>
                    <xdr:colOff>6534150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3"/>
  <sheetViews>
    <sheetView workbookViewId="0">
      <selection activeCell="A7" sqref="A7"/>
    </sheetView>
  </sheetViews>
  <sheetFormatPr defaultRowHeight="15" x14ac:dyDescent="0.25"/>
  <cols>
    <col min="1" max="340" width="100.7109375" customWidth="1"/>
  </cols>
  <sheetData>
    <row r="1" spans="1:1" x14ac:dyDescent="0.25">
      <c r="A1" s="1" t="s">
        <v>261</v>
      </c>
    </row>
    <row r="3" spans="1:1" x14ac:dyDescent="0.25">
      <c r="A3" t="str">
        <f>ReadSamples()</f>
        <v xml:space="preserve">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</v>
      </c>
    </row>
  </sheetData>
  <dataConsolidate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14"/>
  <sheetViews>
    <sheetView tabSelected="1" workbookViewId="0">
      <selection activeCell="C13" sqref="C13"/>
    </sheetView>
  </sheetViews>
  <sheetFormatPr defaultRowHeight="15" x14ac:dyDescent="0.25"/>
  <cols>
    <col min="1" max="1" width="95.5703125" customWidth="1"/>
    <col min="2" max="2" width="13.5703125" customWidth="1"/>
    <col min="3" max="3" width="37.42578125" customWidth="1"/>
  </cols>
  <sheetData>
    <row r="1" spans="1:3" x14ac:dyDescent="0.25">
      <c r="A1" s="1" t="s">
        <v>476</v>
      </c>
    </row>
    <row r="2" spans="1:3" x14ac:dyDescent="0.25">
      <c r="A2" t="s">
        <v>542</v>
      </c>
    </row>
    <row r="13" spans="1:3" x14ac:dyDescent="0.25">
      <c r="A13" s="1" t="s">
        <v>478</v>
      </c>
      <c r="B13" s="5" t="s">
        <v>477</v>
      </c>
      <c r="C13" s="4" t="s">
        <v>544</v>
      </c>
    </row>
    <row r="14" spans="1:3" x14ac:dyDescent="0.25">
      <c r="A14" t="s">
        <v>546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xecute_ReadAuditAnnotations_Click">
                <anchor moveWithCells="1" sizeWithCells="1">
                  <from>
                    <xdr:col>0</xdr:col>
                    <xdr:colOff>5629275</xdr:colOff>
                    <xdr:row>12</xdr:row>
                    <xdr:rowOff>19050</xdr:rowOff>
                  </from>
                  <to>
                    <xdr:col>0</xdr:col>
                    <xdr:colOff>6305550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Execute_ReadAudits_Click">
                <anchor moveWithCells="1" sizeWithCells="1">
                  <from>
                    <xdr:col>0</xdr:col>
                    <xdr:colOff>5648325</xdr:colOff>
                    <xdr:row>0</xdr:row>
                    <xdr:rowOff>19050</xdr:rowOff>
                  </from>
                  <to>
                    <xdr:col>0</xdr:col>
                    <xdr:colOff>6343650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2"/>
  <sheetViews>
    <sheetView workbookViewId="0">
      <selection activeCell="E16" sqref="E16"/>
    </sheetView>
  </sheetViews>
  <sheetFormatPr defaultRowHeight="15" x14ac:dyDescent="0.25"/>
  <cols>
    <col min="1" max="1" width="28.5703125" customWidth="1"/>
    <col min="2" max="2" width="40.5703125" customWidth="1"/>
  </cols>
  <sheetData>
    <row r="1" spans="1:2" x14ac:dyDescent="0.25">
      <c r="A1" s="1" t="s">
        <v>461</v>
      </c>
    </row>
    <row r="2" spans="1:2" x14ac:dyDescent="0.25">
      <c r="A2" t="s">
        <v>463</v>
      </c>
      <c r="B2" s="3" t="s">
        <v>465</v>
      </c>
    </row>
    <row r="3" spans="1:2" x14ac:dyDescent="0.25">
      <c r="A3" t="s">
        <v>462</v>
      </c>
      <c r="B3" t="s">
        <v>466</v>
      </c>
    </row>
    <row r="4" spans="1:2" x14ac:dyDescent="0.25">
      <c r="A4" t="s">
        <v>464</v>
      </c>
      <c r="B4" t="str">
        <f xml:space="preserve"> Localize(B2, B3)</f>
        <v>Affidabile</v>
      </c>
    </row>
    <row r="6" spans="1:2" x14ac:dyDescent="0.25">
      <c r="A6" s="1" t="s">
        <v>467</v>
      </c>
    </row>
    <row r="7" spans="1:2" x14ac:dyDescent="0.25">
      <c r="A7" t="s">
        <v>463</v>
      </c>
      <c r="B7" t="s">
        <v>468</v>
      </c>
    </row>
    <row r="8" spans="1:2" x14ac:dyDescent="0.25">
      <c r="A8" t="s">
        <v>6</v>
      </c>
      <c r="B8" t="str">
        <f>GetCommandEnumeration(B7)</f>
        <v>commandIdEnumSet.executeCommand</v>
      </c>
    </row>
    <row r="10" spans="1:2" x14ac:dyDescent="0.25">
      <c r="A10" s="1" t="s">
        <v>469</v>
      </c>
    </row>
    <row r="11" spans="1:2" x14ac:dyDescent="0.25">
      <c r="A11" t="s">
        <v>463</v>
      </c>
      <c r="B11" t="s">
        <v>470</v>
      </c>
    </row>
    <row r="12" spans="1:2" x14ac:dyDescent="0.25">
      <c r="A12" t="s">
        <v>6</v>
      </c>
      <c r="B12" t="str">
        <f>GetObjectTypeEnumeration(B11)</f>
        <v>objectTypeEnumSet.bacAiClass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Read</vt:lpstr>
      <vt:lpstr>Write</vt:lpstr>
      <vt:lpstr>Cmd</vt:lpstr>
      <vt:lpstr>Objs</vt:lpstr>
      <vt:lpstr>Equipment</vt:lpstr>
      <vt:lpstr>Spaces</vt:lpstr>
      <vt:lpstr>Devs</vt:lpstr>
      <vt:lpstr>Alarms</vt:lpstr>
      <vt:lpstr>Samples</vt:lpstr>
      <vt:lpstr>Audits</vt:lpstr>
      <vt:lpstr>Localize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2020-06-19T09:51:28Z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be01c0c-f9b3-4dc4-af0b-a82110cc37cd_Enabled">
    <vt:lpwstr>True</vt:lpwstr>
  </property>
  <property fmtid="{D5CDD505-2E9C-101B-9397-08002B2CF9AE}" pid="3" name="MSIP_Label_6be01c0c-f9b3-4dc4-af0b-a82110cc37cd_SiteId">
    <vt:lpwstr>a1f1e214-7ded-45b6-81a1-9e8ae3459641</vt:lpwstr>
  </property>
  <property fmtid="{D5CDD505-2E9C-101B-9397-08002B2CF9AE}" pid="4" name="MSIP_Label_6be01c0c-f9b3-4dc4-af0b-a82110cc37cd_Owner">
    <vt:lpwstr>jbuldre@jci.com</vt:lpwstr>
  </property>
  <property fmtid="{D5CDD505-2E9C-101B-9397-08002B2CF9AE}" pid="5" name="MSIP_Label_6be01c0c-f9b3-4dc4-af0b-a82110cc37cd_SetDate">
    <vt:lpwstr>2019-09-30T15:25:28.2033633Z</vt:lpwstr>
  </property>
  <property fmtid="{D5CDD505-2E9C-101B-9397-08002B2CF9AE}" pid="6" name="MSIP_Label_6be01c0c-f9b3-4dc4-af0b-a82110cc37cd_Name">
    <vt:lpwstr>Internal </vt:lpwstr>
  </property>
  <property fmtid="{D5CDD505-2E9C-101B-9397-08002B2CF9AE}" pid="7" name="MSIP_Label_6be01c0c-f9b3-4dc4-af0b-a82110cc37cd_Application">
    <vt:lpwstr>Microsoft Azure Information Protection</vt:lpwstr>
  </property>
  <property fmtid="{D5CDD505-2E9C-101B-9397-08002B2CF9AE}" pid="8" name="MSIP_Label_6be01c0c-f9b3-4dc4-af0b-a82110cc37cd_ActionId">
    <vt:lpwstr>ea2ce625-ed9e-4984-bd1f-3748b0eb11bd</vt:lpwstr>
  </property>
  <property fmtid="{D5CDD505-2E9C-101B-9397-08002B2CF9AE}" pid="9" name="MSIP_Label_6be01c0c-f9b3-4dc4-af0b-a82110cc37cd_Extended_MSFT_Method">
    <vt:lpwstr>Automatic</vt:lpwstr>
  </property>
  <property fmtid="{D5CDD505-2E9C-101B-9397-08002B2CF9AE}" pid="10" name="Information Classification">
    <vt:lpwstr>Internal </vt:lpwstr>
  </property>
</Properties>
</file>